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HORARIOS - CRONOGRAMAS - LISTAS/"/>
    </mc:Choice>
  </mc:AlternateContent>
  <xr:revisionPtr revIDLastSave="0" documentId="8_{90ADA7AE-78DD-5E4E-B943-3D9EB80CD3B5}" xr6:coauthVersionLast="47" xr6:coauthVersionMax="47" xr10:uidLastSave="{00000000-0000-0000-0000-000000000000}"/>
  <bookViews>
    <workbookView xWindow="0" yWindow="-15360" windowWidth="27320" windowHeight="15360" xr2:uid="{B8296C6C-9DC3-4CA1-BF71-0399F8661350}"/>
  </bookViews>
  <sheets>
    <sheet name="CALENDARIO 25-26 v.1" sheetId="1" r:id="rId1"/>
    <sheet name="PRSC. CALENDARIO 25-26" sheetId="2" r:id="rId2"/>
    <sheet name="PRIM. CALENDARIO 25-26" sheetId="3" r:id="rId3"/>
    <sheet name="MYP CALENDARIO 25-26" sheetId="4" r:id="rId4"/>
    <sheet name="DP CALENDARIO 25-26" sheetId="5" r:id="rId5"/>
    <sheet name="STEM SOSTEN. CALENDARIO 25-26" sheetId="6" r:id="rId6"/>
  </sheets>
  <definedNames>
    <definedName name="Calendar9Year" localSheetId="0">#REF!</definedName>
    <definedName name="Calendar9Year" localSheetId="4">#REF!</definedName>
    <definedName name="Calendar9Year" localSheetId="3">#REF!</definedName>
    <definedName name="Calendar9Year" localSheetId="2">#REF!</definedName>
    <definedName name="Calendar9Year" localSheetId="1">#REF!</definedName>
    <definedName name="Calendar9Year" localSheetId="5">#REF!</definedName>
    <definedName name="Calendar9Year">#REF!</definedName>
    <definedName name="Calendario10Año" localSheetId="0">#REF!</definedName>
    <definedName name="Calendario10Año" localSheetId="4">#REF!</definedName>
    <definedName name="Calendario10Año" localSheetId="3">#REF!</definedName>
    <definedName name="Calendario10Año" localSheetId="2">#REF!</definedName>
    <definedName name="Calendario10Año" localSheetId="1">#REF!</definedName>
    <definedName name="Calendario10Año" localSheetId="5">#REF!</definedName>
    <definedName name="Calendario10Año">#REF!</definedName>
    <definedName name="Calendario10Mes" localSheetId="0">#REF!</definedName>
    <definedName name="Calendario10Mes" localSheetId="4">#REF!</definedName>
    <definedName name="Calendario10Mes" localSheetId="3">#REF!</definedName>
    <definedName name="Calendario10Mes" localSheetId="2">#REF!</definedName>
    <definedName name="Calendario10Mes" localSheetId="1">#REF!</definedName>
    <definedName name="Calendario10Mes" localSheetId="5">#REF!</definedName>
    <definedName name="Calendario10Mes">#REF!</definedName>
    <definedName name="Calendario10MesOpción" localSheetId="0">MATCH('CALENDARIO 25-26 v.1'!Calendario10Mes,'CALENDARIO 25-26 v.1'!Meses,0)</definedName>
    <definedName name="Calendario10MesOpción" localSheetId="4">MATCH('DP CALENDARIO 25-26'!Calendario10Mes,'DP CALENDARIO 25-26'!Meses,0)</definedName>
    <definedName name="Calendario10MesOpción" localSheetId="3">MATCH('MYP CALENDARIO 25-26'!Calendario10Mes,'MYP CALENDARIO 25-26'!Meses,0)</definedName>
    <definedName name="Calendario10MesOpción" localSheetId="2">MATCH('PRIM. CALENDARIO 25-26'!Calendario10Mes,'PRIM. CALENDARIO 25-26'!Meses,0)</definedName>
    <definedName name="Calendario10MesOpción" localSheetId="1">MATCH('PRSC. CALENDARIO 25-26'!Calendario10Mes,'PRSC. CALENDARIO 25-26'!Meses,0)</definedName>
    <definedName name="Calendario10MesOpción" localSheetId="5">MATCH('STEM SOSTEN. CALENDARIO 25-26'!Calendario10Mes,'STEM SOSTEN. CALENDARIO 25-26'!Meses,0)</definedName>
    <definedName name="Calendario10MesOpción">MATCH(Calendario10Mes,Meses,0)</definedName>
    <definedName name="Calendario11Año" localSheetId="0">#REF!</definedName>
    <definedName name="Calendario11Año" localSheetId="4">#REF!</definedName>
    <definedName name="Calendario11Año" localSheetId="3">#REF!</definedName>
    <definedName name="Calendario11Año" localSheetId="2">#REF!</definedName>
    <definedName name="Calendario11Año" localSheetId="1">#REF!</definedName>
    <definedName name="Calendario11Año" localSheetId="5">#REF!</definedName>
    <definedName name="Calendario11Año">#REF!</definedName>
    <definedName name="Calendario11Mes" localSheetId="0">#REF!</definedName>
    <definedName name="Calendario11Mes" localSheetId="4">#REF!</definedName>
    <definedName name="Calendario11Mes" localSheetId="3">#REF!</definedName>
    <definedName name="Calendario11Mes" localSheetId="2">#REF!</definedName>
    <definedName name="Calendario11Mes" localSheetId="1">#REF!</definedName>
    <definedName name="Calendario11Mes" localSheetId="5">#REF!</definedName>
    <definedName name="Calendario11Mes">#REF!</definedName>
    <definedName name="Calendario11MesOpción" localSheetId="0">MATCH('CALENDARIO 25-26 v.1'!Calendario11Mes,'CALENDARIO 25-26 v.1'!Meses,0)</definedName>
    <definedName name="Calendario11MesOpción" localSheetId="4">MATCH('DP CALENDARIO 25-26'!Calendario11Mes,'DP CALENDARIO 25-26'!Meses,0)</definedName>
    <definedName name="Calendario11MesOpción" localSheetId="3">MATCH('MYP CALENDARIO 25-26'!Calendario11Mes,'MYP CALENDARIO 25-26'!Meses,0)</definedName>
    <definedName name="Calendario11MesOpción" localSheetId="2">MATCH('PRIM. CALENDARIO 25-26'!Calendario11Mes,'PRIM. CALENDARIO 25-26'!Meses,0)</definedName>
    <definedName name="Calendario11MesOpción" localSheetId="1">MATCH('PRSC. CALENDARIO 25-26'!Calendario11Mes,'PRSC. CALENDARIO 25-26'!Meses,0)</definedName>
    <definedName name="Calendario11MesOpción" localSheetId="5">MATCH('STEM SOSTEN. CALENDARIO 25-26'!Calendario11Mes,'STEM SOSTEN. CALENDARIO 25-26'!Meses,0)</definedName>
    <definedName name="Calendario11MesOpción">MATCH(Calendario11Mes,Meses,0)</definedName>
    <definedName name="Calendario12Año" localSheetId="0">#REF!</definedName>
    <definedName name="Calendario12Año" localSheetId="4">#REF!</definedName>
    <definedName name="Calendario12Año" localSheetId="3">#REF!</definedName>
    <definedName name="Calendario12Año" localSheetId="2">#REF!</definedName>
    <definedName name="Calendario12Año" localSheetId="1">#REF!</definedName>
    <definedName name="Calendario12Año" localSheetId="5">#REF!</definedName>
    <definedName name="Calendario12Año">#REF!</definedName>
    <definedName name="Calendario12Mes" localSheetId="0">#REF!</definedName>
    <definedName name="Calendario12Mes" localSheetId="4">#REF!</definedName>
    <definedName name="Calendario12Mes" localSheetId="3">#REF!</definedName>
    <definedName name="Calendario12Mes" localSheetId="2">#REF!</definedName>
    <definedName name="Calendario12Mes" localSheetId="1">#REF!</definedName>
    <definedName name="Calendario12Mes" localSheetId="5">#REF!</definedName>
    <definedName name="Calendario12Mes">#REF!</definedName>
    <definedName name="Calendario12MesOpción" localSheetId="0">MATCH('CALENDARIO 25-26 v.1'!Calendario12Mes,'CALENDARIO 25-26 v.1'!Meses,0)</definedName>
    <definedName name="Calendario12MesOpción" localSheetId="4">MATCH('DP CALENDARIO 25-26'!Calendario12Mes,'DP CALENDARIO 25-26'!Meses,0)</definedName>
    <definedName name="Calendario12MesOpción" localSheetId="3">MATCH('MYP CALENDARIO 25-26'!Calendario12Mes,'MYP CALENDARIO 25-26'!Meses,0)</definedName>
    <definedName name="Calendario12MesOpción" localSheetId="2">MATCH('PRIM. CALENDARIO 25-26'!Calendario12Mes,'PRIM. CALENDARIO 25-26'!Meses,0)</definedName>
    <definedName name="Calendario12MesOpción" localSheetId="1">MATCH('PRSC. CALENDARIO 25-26'!Calendario12Mes,'PRSC. CALENDARIO 25-26'!Meses,0)</definedName>
    <definedName name="Calendario12MesOpción" localSheetId="5">MATCH('STEM SOSTEN. CALENDARIO 25-26'!Calendario12Mes,'STEM SOSTEN. CALENDARIO 25-26'!Meses,0)</definedName>
    <definedName name="Calendario12MesOpción">MATCH(Calendario12Mes,Meses,0)</definedName>
    <definedName name="Calendario1Año" localSheetId="0">#REF!</definedName>
    <definedName name="Calendario1Año" localSheetId="4">#REF!</definedName>
    <definedName name="Calendario1Año" localSheetId="3">#REF!</definedName>
    <definedName name="Calendario1Año" localSheetId="2">#REF!</definedName>
    <definedName name="Calendario1Año" localSheetId="1">#REF!</definedName>
    <definedName name="Calendario1Año" localSheetId="5">#REF!</definedName>
    <definedName name="Calendario1Año">#REF!</definedName>
    <definedName name="Calendario1Mes" localSheetId="0">#REF!</definedName>
    <definedName name="Calendario1Mes" localSheetId="4">#REF!</definedName>
    <definedName name="Calendario1Mes" localSheetId="3">#REF!</definedName>
    <definedName name="Calendario1Mes" localSheetId="2">#REF!</definedName>
    <definedName name="Calendario1Mes" localSheetId="1">#REF!</definedName>
    <definedName name="Calendario1Mes" localSheetId="5">#REF!</definedName>
    <definedName name="Calendario1Mes">#REF!</definedName>
    <definedName name="Calendario1MesOpción" localSheetId="0">MATCH('CALENDARIO 25-26 v.1'!Calendario1Mes,'CALENDARIO 25-26 v.1'!Meses,0)</definedName>
    <definedName name="Calendario1MesOpción" localSheetId="4">MATCH('DP CALENDARIO 25-26'!Calendario1Mes,'DP CALENDARIO 25-26'!Meses,0)</definedName>
    <definedName name="Calendario1MesOpción" localSheetId="3">MATCH('MYP CALENDARIO 25-26'!Calendario1Mes,'MYP CALENDARIO 25-26'!Meses,0)</definedName>
    <definedName name="Calendario1MesOpción" localSheetId="2">MATCH('PRIM. CALENDARIO 25-26'!Calendario1Mes,'PRIM. CALENDARIO 25-26'!Meses,0)</definedName>
    <definedName name="Calendario1MesOpción" localSheetId="1">MATCH('PRSC. CALENDARIO 25-26'!Calendario1Mes,'PRSC. CALENDARIO 25-26'!Meses,0)</definedName>
    <definedName name="Calendario1MesOpción" localSheetId="5">MATCH('STEM SOSTEN. CALENDARIO 25-26'!Calendario1Mes,'STEM SOSTEN. CALENDARIO 25-26'!Meses,0)</definedName>
    <definedName name="Calendario1MesOpción">MATCH(Calendario1Mes,Meses,0)</definedName>
    <definedName name="Calendario2Año" localSheetId="0">#REF!</definedName>
    <definedName name="Calendario2Año" localSheetId="4">#REF!</definedName>
    <definedName name="Calendario2Año" localSheetId="3">#REF!</definedName>
    <definedName name="Calendario2Año" localSheetId="2">#REF!</definedName>
    <definedName name="Calendario2Año" localSheetId="1">#REF!</definedName>
    <definedName name="Calendario2Año" localSheetId="5">#REF!</definedName>
    <definedName name="Calendario2Año">#REF!</definedName>
    <definedName name="Calendario2Mes" localSheetId="0">#REF!</definedName>
    <definedName name="Calendario2Mes" localSheetId="4">#REF!</definedName>
    <definedName name="Calendario2Mes" localSheetId="3">#REF!</definedName>
    <definedName name="Calendario2Mes" localSheetId="2">#REF!</definedName>
    <definedName name="Calendario2Mes" localSheetId="1">#REF!</definedName>
    <definedName name="Calendario2Mes" localSheetId="5">#REF!</definedName>
    <definedName name="Calendario2Mes">#REF!</definedName>
    <definedName name="Calendario2MesOpción" localSheetId="0">MATCH('CALENDARIO 25-26 v.1'!Calendario2Mes,'CALENDARIO 25-26 v.1'!Meses,0)</definedName>
    <definedName name="Calendario2MesOpción" localSheetId="4">MATCH('DP CALENDARIO 25-26'!Calendario2Mes,'DP CALENDARIO 25-26'!Meses,0)</definedName>
    <definedName name="Calendario2MesOpción" localSheetId="3">MATCH('MYP CALENDARIO 25-26'!Calendario2Mes,'MYP CALENDARIO 25-26'!Meses,0)</definedName>
    <definedName name="Calendario2MesOpción" localSheetId="2">MATCH('PRIM. CALENDARIO 25-26'!Calendario2Mes,'PRIM. CALENDARIO 25-26'!Meses,0)</definedName>
    <definedName name="Calendario2MesOpción" localSheetId="1">MATCH('PRSC. CALENDARIO 25-26'!Calendario2Mes,'PRSC. CALENDARIO 25-26'!Meses,0)</definedName>
    <definedName name="Calendario2MesOpción" localSheetId="5">MATCH('STEM SOSTEN. CALENDARIO 25-26'!Calendario2Mes,'STEM SOSTEN. CALENDARIO 25-26'!Meses,0)</definedName>
    <definedName name="Calendario2MesOpción">MATCH(Calendario2Mes,Meses,0)</definedName>
    <definedName name="Calendario3Año" localSheetId="0">#REF!</definedName>
    <definedName name="Calendario3Año" localSheetId="4">#REF!</definedName>
    <definedName name="Calendario3Año" localSheetId="3">#REF!</definedName>
    <definedName name="Calendario3Año" localSheetId="2">#REF!</definedName>
    <definedName name="Calendario3Año" localSheetId="1">#REF!</definedName>
    <definedName name="Calendario3Año" localSheetId="5">#REF!</definedName>
    <definedName name="Calendario3Año">#REF!</definedName>
    <definedName name="Calendario3Mes" localSheetId="0">#REF!</definedName>
    <definedName name="Calendario3Mes" localSheetId="4">#REF!</definedName>
    <definedName name="Calendario3Mes" localSheetId="3">#REF!</definedName>
    <definedName name="Calendario3Mes" localSheetId="2">#REF!</definedName>
    <definedName name="Calendario3Mes" localSheetId="1">#REF!</definedName>
    <definedName name="Calendario3Mes" localSheetId="5">#REF!</definedName>
    <definedName name="Calendario3Mes">#REF!</definedName>
    <definedName name="Calendario3MesOpción" localSheetId="0">MATCH('CALENDARIO 25-26 v.1'!Calendario3Mes,'CALENDARIO 25-26 v.1'!Meses,0)</definedName>
    <definedName name="Calendario3MesOpción" localSheetId="4">MATCH('DP CALENDARIO 25-26'!Calendario3Mes,'DP CALENDARIO 25-26'!Meses,0)</definedName>
    <definedName name="Calendario3MesOpción" localSheetId="3">MATCH('MYP CALENDARIO 25-26'!Calendario3Mes,'MYP CALENDARIO 25-26'!Meses,0)</definedName>
    <definedName name="Calendario3MesOpción" localSheetId="2">MATCH('PRIM. CALENDARIO 25-26'!Calendario3Mes,'PRIM. CALENDARIO 25-26'!Meses,0)</definedName>
    <definedName name="Calendario3MesOpción" localSheetId="1">MATCH('PRSC. CALENDARIO 25-26'!Calendario3Mes,'PRSC. CALENDARIO 25-26'!Meses,0)</definedName>
    <definedName name="Calendario3MesOpción" localSheetId="5">MATCH('STEM SOSTEN. CALENDARIO 25-26'!Calendario3Mes,'STEM SOSTEN. CALENDARIO 25-26'!Meses,0)</definedName>
    <definedName name="Calendario3MesOpción">MATCH(Calendario3Mes,Meses,0)</definedName>
    <definedName name="Calendario4Año" localSheetId="0">#REF!</definedName>
    <definedName name="Calendario4Año" localSheetId="4">#REF!</definedName>
    <definedName name="Calendario4Año" localSheetId="3">#REF!</definedName>
    <definedName name="Calendario4Año" localSheetId="2">#REF!</definedName>
    <definedName name="Calendario4Año" localSheetId="1">#REF!</definedName>
    <definedName name="Calendario4Año" localSheetId="5">#REF!</definedName>
    <definedName name="Calendario4Año">#REF!</definedName>
    <definedName name="Calendario4Mes" localSheetId="0">#REF!</definedName>
    <definedName name="Calendario4Mes" localSheetId="4">#REF!</definedName>
    <definedName name="Calendario4Mes" localSheetId="3">#REF!</definedName>
    <definedName name="Calendario4Mes" localSheetId="2">#REF!</definedName>
    <definedName name="Calendario4Mes" localSheetId="1">#REF!</definedName>
    <definedName name="Calendario4Mes" localSheetId="5">#REF!</definedName>
    <definedName name="Calendario4Mes">#REF!</definedName>
    <definedName name="Calendario4MesOpción" localSheetId="0">MATCH('CALENDARIO 25-26 v.1'!Calendario4Mes,'CALENDARIO 25-26 v.1'!Meses,0)</definedName>
    <definedName name="Calendario4MesOpción" localSheetId="4">MATCH('DP CALENDARIO 25-26'!Calendario4Mes,'DP CALENDARIO 25-26'!Meses,0)</definedName>
    <definedName name="Calendario4MesOpción" localSheetId="3">MATCH('MYP CALENDARIO 25-26'!Calendario4Mes,'MYP CALENDARIO 25-26'!Meses,0)</definedName>
    <definedName name="Calendario4MesOpción" localSheetId="2">MATCH('PRIM. CALENDARIO 25-26'!Calendario4Mes,'PRIM. CALENDARIO 25-26'!Meses,0)</definedName>
    <definedName name="Calendario4MesOpción" localSheetId="1">MATCH('PRSC. CALENDARIO 25-26'!Calendario4Mes,'PRSC. CALENDARIO 25-26'!Meses,0)</definedName>
    <definedName name="Calendario4MesOpción" localSheetId="5">MATCH('STEM SOSTEN. CALENDARIO 25-26'!Calendario4Mes,'STEM SOSTEN. CALENDARIO 25-26'!Meses,0)</definedName>
    <definedName name="Calendario4MesOpción">MATCH(Calendario4Mes,Meses,0)</definedName>
    <definedName name="Calendario5Año" localSheetId="0">#REF!</definedName>
    <definedName name="Calendario5Año" localSheetId="4">#REF!</definedName>
    <definedName name="Calendario5Año" localSheetId="3">#REF!</definedName>
    <definedName name="Calendario5Año" localSheetId="2">#REF!</definedName>
    <definedName name="Calendario5Año" localSheetId="1">#REF!</definedName>
    <definedName name="Calendario5Año" localSheetId="5">#REF!</definedName>
    <definedName name="Calendario5Año">#REF!</definedName>
    <definedName name="Calendario5Mes" localSheetId="0">#REF!</definedName>
    <definedName name="Calendario5Mes" localSheetId="4">#REF!</definedName>
    <definedName name="Calendario5Mes" localSheetId="3">#REF!</definedName>
    <definedName name="Calendario5Mes" localSheetId="2">#REF!</definedName>
    <definedName name="Calendario5Mes" localSheetId="1">#REF!</definedName>
    <definedName name="Calendario5Mes" localSheetId="5">#REF!</definedName>
    <definedName name="Calendario5Mes">#REF!</definedName>
    <definedName name="Calendario5MesOpción" localSheetId="0">MATCH('CALENDARIO 25-26 v.1'!Calendario5Mes,'CALENDARIO 25-26 v.1'!Meses,0)</definedName>
    <definedName name="Calendario5MesOpción" localSheetId="4">MATCH('DP CALENDARIO 25-26'!Calendario5Mes,'DP CALENDARIO 25-26'!Meses,0)</definedName>
    <definedName name="Calendario5MesOpción" localSheetId="3">MATCH('MYP CALENDARIO 25-26'!Calendario5Mes,'MYP CALENDARIO 25-26'!Meses,0)</definedName>
    <definedName name="Calendario5MesOpción" localSheetId="2">MATCH('PRIM. CALENDARIO 25-26'!Calendario5Mes,'PRIM. CALENDARIO 25-26'!Meses,0)</definedName>
    <definedName name="Calendario5MesOpción" localSheetId="1">MATCH('PRSC. CALENDARIO 25-26'!Calendario5Mes,'PRSC. CALENDARIO 25-26'!Meses,0)</definedName>
    <definedName name="Calendario5MesOpción" localSheetId="5">MATCH('STEM SOSTEN. CALENDARIO 25-26'!Calendario5Mes,'STEM SOSTEN. CALENDARIO 25-26'!Meses,0)</definedName>
    <definedName name="Calendario5MesOpción">MATCH(Calendario5Mes,Meses,0)</definedName>
    <definedName name="Calendario6Año" localSheetId="0">#REF!</definedName>
    <definedName name="Calendario6Año" localSheetId="4">#REF!</definedName>
    <definedName name="Calendario6Año" localSheetId="3">#REF!</definedName>
    <definedName name="Calendario6Año" localSheetId="2">#REF!</definedName>
    <definedName name="Calendario6Año" localSheetId="1">#REF!</definedName>
    <definedName name="Calendario6Año" localSheetId="5">#REF!</definedName>
    <definedName name="Calendario6Año">#REF!</definedName>
    <definedName name="Calendario6Mes" localSheetId="0">#REF!</definedName>
    <definedName name="Calendario6Mes" localSheetId="4">#REF!</definedName>
    <definedName name="Calendario6Mes" localSheetId="3">#REF!</definedName>
    <definedName name="Calendario6Mes" localSheetId="2">#REF!</definedName>
    <definedName name="Calendario6Mes" localSheetId="1">#REF!</definedName>
    <definedName name="Calendario6Mes" localSheetId="5">#REF!</definedName>
    <definedName name="Calendario6Mes">#REF!</definedName>
    <definedName name="Calendario6MesOpción" localSheetId="0">MATCH('CALENDARIO 25-26 v.1'!Calendario6Mes,'CALENDARIO 25-26 v.1'!Meses,0)</definedName>
    <definedName name="Calendario6MesOpción" localSheetId="4">MATCH('DP CALENDARIO 25-26'!Calendario6Mes,'DP CALENDARIO 25-26'!Meses,0)</definedName>
    <definedName name="Calendario6MesOpción" localSheetId="3">MATCH('MYP CALENDARIO 25-26'!Calendario6Mes,'MYP CALENDARIO 25-26'!Meses,0)</definedName>
    <definedName name="Calendario6MesOpción" localSheetId="2">MATCH('PRIM. CALENDARIO 25-26'!Calendario6Mes,'PRIM. CALENDARIO 25-26'!Meses,0)</definedName>
    <definedName name="Calendario6MesOpción" localSheetId="1">MATCH('PRSC. CALENDARIO 25-26'!Calendario6Mes,'PRSC. CALENDARIO 25-26'!Meses,0)</definedName>
    <definedName name="Calendario6MesOpción" localSheetId="5">MATCH('STEM SOSTEN. CALENDARIO 25-26'!Calendario6Mes,'STEM SOSTEN. CALENDARIO 25-26'!Meses,0)</definedName>
    <definedName name="Calendario6MesOpción">MATCH(Calendario6Mes,Meses,0)</definedName>
    <definedName name="Calendario7Año" localSheetId="0">#REF!</definedName>
    <definedName name="Calendario7Año" localSheetId="4">#REF!</definedName>
    <definedName name="Calendario7Año" localSheetId="3">#REF!</definedName>
    <definedName name="Calendario7Año" localSheetId="2">#REF!</definedName>
    <definedName name="Calendario7Año" localSheetId="1">#REF!</definedName>
    <definedName name="Calendario7Año" localSheetId="5">#REF!</definedName>
    <definedName name="Calendario7Año">#REF!</definedName>
    <definedName name="Calendario7Mes" localSheetId="0">#REF!</definedName>
    <definedName name="Calendario7Mes" localSheetId="4">#REF!</definedName>
    <definedName name="Calendario7Mes" localSheetId="3">#REF!</definedName>
    <definedName name="Calendario7Mes" localSheetId="2">#REF!</definedName>
    <definedName name="Calendario7Mes" localSheetId="1">#REF!</definedName>
    <definedName name="Calendario7Mes" localSheetId="5">#REF!</definedName>
    <definedName name="Calendario7Mes">#REF!</definedName>
    <definedName name="Calendario7MesOpción" localSheetId="0">MATCH('CALENDARIO 25-26 v.1'!Calendario7Mes,'CALENDARIO 25-26 v.1'!Meses,0)</definedName>
    <definedName name="Calendario7MesOpción" localSheetId="4">MATCH('DP CALENDARIO 25-26'!Calendario7Mes,'DP CALENDARIO 25-26'!Meses,0)</definedName>
    <definedName name="Calendario7MesOpción" localSheetId="3">MATCH('MYP CALENDARIO 25-26'!Calendario7Mes,'MYP CALENDARIO 25-26'!Meses,0)</definedName>
    <definedName name="Calendario7MesOpción" localSheetId="2">MATCH('PRIM. CALENDARIO 25-26'!Calendario7Mes,'PRIM. CALENDARIO 25-26'!Meses,0)</definedName>
    <definedName name="Calendario7MesOpción" localSheetId="1">MATCH('PRSC. CALENDARIO 25-26'!Calendario7Mes,'PRSC. CALENDARIO 25-26'!Meses,0)</definedName>
    <definedName name="Calendario7MesOpción" localSheetId="5">MATCH('STEM SOSTEN. CALENDARIO 25-26'!Calendario7Mes,'STEM SOSTEN. CALENDARIO 25-26'!Meses,0)</definedName>
    <definedName name="Calendario7MesOpción">MATCH(Calendario7Mes,Meses,0)</definedName>
    <definedName name="Calendario8Año" localSheetId="0">#REF!</definedName>
    <definedName name="Calendario8Año" localSheetId="4">#REF!</definedName>
    <definedName name="Calendario8Año" localSheetId="3">#REF!</definedName>
    <definedName name="Calendario8Año" localSheetId="2">#REF!</definedName>
    <definedName name="Calendario8Año" localSheetId="1">#REF!</definedName>
    <definedName name="Calendario8Año" localSheetId="5">#REF!</definedName>
    <definedName name="Calendario8Año">#REF!</definedName>
    <definedName name="Calendario8Mes" localSheetId="0">#REF!</definedName>
    <definedName name="Calendario8Mes" localSheetId="4">#REF!</definedName>
    <definedName name="Calendario8Mes" localSheetId="3">#REF!</definedName>
    <definedName name="Calendario8Mes" localSheetId="2">#REF!</definedName>
    <definedName name="Calendario8Mes" localSheetId="1">#REF!</definedName>
    <definedName name="Calendario8Mes" localSheetId="5">#REF!</definedName>
    <definedName name="Calendario8Mes">#REF!</definedName>
    <definedName name="Calendario8MesOpción" localSheetId="0">MATCH('CALENDARIO 25-26 v.1'!Calendario8Mes,'CALENDARIO 25-26 v.1'!Meses,0)</definedName>
    <definedName name="Calendario8MesOpción" localSheetId="4">MATCH('DP CALENDARIO 25-26'!Calendario8Mes,'DP CALENDARIO 25-26'!Meses,0)</definedName>
    <definedName name="Calendario8MesOpción" localSheetId="3">MATCH('MYP CALENDARIO 25-26'!Calendario8Mes,'MYP CALENDARIO 25-26'!Meses,0)</definedName>
    <definedName name="Calendario8MesOpción" localSheetId="2">MATCH('PRIM. CALENDARIO 25-26'!Calendario8Mes,'PRIM. CALENDARIO 25-26'!Meses,0)</definedName>
    <definedName name="Calendario8MesOpción" localSheetId="1">MATCH('PRSC. CALENDARIO 25-26'!Calendario8Mes,'PRSC. CALENDARIO 25-26'!Meses,0)</definedName>
    <definedName name="Calendario8MesOpción" localSheetId="5">MATCH('STEM SOSTEN. CALENDARIO 25-26'!Calendario8Mes,'STEM SOSTEN. CALENDARIO 25-26'!Meses,0)</definedName>
    <definedName name="Calendario8MesOpción">MATCH(Calendario8Mes,Meses,0)</definedName>
    <definedName name="Calendario9Mes" localSheetId="0">#REF!</definedName>
    <definedName name="Calendario9Mes" localSheetId="4">#REF!</definedName>
    <definedName name="Calendario9Mes" localSheetId="3">#REF!</definedName>
    <definedName name="Calendario9Mes" localSheetId="2">#REF!</definedName>
    <definedName name="Calendario9Mes" localSheetId="1">#REF!</definedName>
    <definedName name="Calendario9Mes" localSheetId="5">#REF!</definedName>
    <definedName name="Calendario9Mes">#REF!</definedName>
    <definedName name="Calendario9MesOpción" localSheetId="0">MATCH('CALENDARIO 25-26 v.1'!Calendario9Mes,'CALENDARIO 25-26 v.1'!Meses,0)</definedName>
    <definedName name="Calendario9MesOpción" localSheetId="4">MATCH('DP CALENDARIO 25-26'!Calendario9Mes,'DP CALENDARIO 25-26'!Meses,0)</definedName>
    <definedName name="Calendario9MesOpción" localSheetId="3">MATCH('MYP CALENDARIO 25-26'!Calendario9Mes,'MYP CALENDARIO 25-26'!Meses,0)</definedName>
    <definedName name="Calendario9MesOpción" localSheetId="2">MATCH('PRIM. CALENDARIO 25-26'!Calendario9Mes,'PRIM. CALENDARIO 25-26'!Meses,0)</definedName>
    <definedName name="Calendario9MesOpción" localSheetId="1">MATCH('PRSC. CALENDARIO 25-26'!Calendario9Mes,'PRSC. CALENDARIO 25-26'!Meses,0)</definedName>
    <definedName name="Calendario9MesOpción" localSheetId="5">MATCH('STEM SOSTEN. CALENDARIO 25-26'!Calendario9Mes,'STEM SOSTEN. CALENDARIO 25-26'!Meses,0)</definedName>
    <definedName name="Calendario9MesOpción">MATCH(Calendario9Mes,Meses,0)</definedName>
    <definedName name="ColumnTitleRegion1..H12.1" localSheetId="0">#REF!</definedName>
    <definedName name="ColumnTitleRegion1..H12.1" localSheetId="4">#REF!</definedName>
    <definedName name="ColumnTitleRegion1..H12.1" localSheetId="3">#REF!</definedName>
    <definedName name="ColumnTitleRegion1..H12.1" localSheetId="2">#REF!</definedName>
    <definedName name="ColumnTitleRegion1..H12.1" localSheetId="1">#REF!</definedName>
    <definedName name="ColumnTitleRegion1..H12.1" localSheetId="5">#REF!</definedName>
    <definedName name="ColumnTitleRegion1..H12.1">#REF!</definedName>
    <definedName name="ColumnTitleRegion10..H54.1" localSheetId="0">#REF!</definedName>
    <definedName name="ColumnTitleRegion10..H54.1" localSheetId="4">#REF!</definedName>
    <definedName name="ColumnTitleRegion10..H54.1" localSheetId="3">#REF!</definedName>
    <definedName name="ColumnTitleRegion10..H54.1" localSheetId="2">#REF!</definedName>
    <definedName name="ColumnTitleRegion10..H54.1" localSheetId="1">#REF!</definedName>
    <definedName name="ColumnTitleRegion10..H54.1" localSheetId="5">#REF!</definedName>
    <definedName name="ColumnTitleRegion10..H54.1">#REF!</definedName>
    <definedName name="ColumnTitleRegion11..C56.1" localSheetId="0">#REF!</definedName>
    <definedName name="ColumnTitleRegion11..C56.1" localSheetId="4">#REF!</definedName>
    <definedName name="ColumnTitleRegion11..C56.1" localSheetId="3">#REF!</definedName>
    <definedName name="ColumnTitleRegion11..C56.1" localSheetId="2">#REF!</definedName>
    <definedName name="ColumnTitleRegion11..C56.1" localSheetId="1">#REF!</definedName>
    <definedName name="ColumnTitleRegion11..C56.1" localSheetId="5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DíaDeLaSemanaOpción" localSheetId="0">MATCH('CALENDARIO 25-26 v.1'!InicioDeSemana,'CALENDARIO 25-26 v.1'!DíasDeLaSemana,0)+10</definedName>
    <definedName name="DíaDeLaSemanaOpción" localSheetId="4">MATCH('DP CALENDARIO 25-26'!InicioDeSemana,'DP CALENDARIO 25-26'!DíasDeLaSemana,0)+10</definedName>
    <definedName name="DíaDeLaSemanaOpción" localSheetId="3">MATCH('MYP CALENDARIO 25-26'!InicioDeSemana,'MYP CALENDARIO 25-26'!DíasDeLaSemana,0)+10</definedName>
    <definedName name="DíaDeLaSemanaOpción" localSheetId="2">MATCH('PRIM. CALENDARIO 25-26'!InicioDeSemana,'PRIM. CALENDARIO 25-26'!DíasDeLaSemana,0)+10</definedName>
    <definedName name="DíaDeLaSemanaOpción" localSheetId="1">MATCH('PRSC. CALENDARIO 25-26'!InicioDeSemana,'PRSC. CALENDARIO 25-26'!DíasDeLaSemana,0)+10</definedName>
    <definedName name="DíaDeLaSemanaOpción" localSheetId="5">MATCH('STEM SOSTEN. CALENDARIO 25-26'!InicioDeSemana,'STEM SOSTEN. CALENDARIO 25-26'!DíasDeLaSemana,0)+10</definedName>
    <definedName name="DíaDeLaSemanaOpción">MATCH(InicioDeSemana,DíasDeLaSemana,0)+10</definedName>
    <definedName name="Días" localSheetId="0">{0,1,2,3,4,5,6}</definedName>
    <definedName name="Días" localSheetId="4">{0,1,2,3,4,5,6}</definedName>
    <definedName name="Días" localSheetId="3">{0,1,2,3,4,5,6}</definedName>
    <definedName name="Días" localSheetId="2">{0,1,2,3,4,5,6}</definedName>
    <definedName name="Días" localSheetId="1">{0,1,2,3,4,5,6}</definedName>
    <definedName name="Días" localSheetId="5">{0,1,2,3,4,5,6}</definedName>
    <definedName name="Días">{0,1,2,3,4,5,6}</definedName>
    <definedName name="DíasDeLaSemana" localSheetId="0">{"LUNES","MARTES","MIÉRCOLES","JUEVES","VIERNES","SÁBADO","DOMINGO"}</definedName>
    <definedName name="DíasDeLaSemana" localSheetId="4">{"LUNES","MARTES","MIÉRCOLES","JUEVES","VIERNES","SÁBADO","DOMINGO"}</definedName>
    <definedName name="DíasDeLaSemana" localSheetId="3">{"LUNES","MARTES","MIÉRCOLES","JUEVES","VIERNES","SÁBADO","DOMINGO"}</definedName>
    <definedName name="DíasDeLaSemana" localSheetId="2">{"LUNES","MARTES","MIÉRCOLES","JUEVES","VIERNES","SÁBADO","DOMINGO"}</definedName>
    <definedName name="DíasDeLaSemana" localSheetId="1">{"LUNES","MARTES","MIÉRCOLES","JUEVES","VIERNES","SÁBADO","DOMINGO"}</definedName>
    <definedName name="DíasDeLaSemana" localSheetId="5">{"LUNES","MARTES","MIÉRCOLES","JUEVES","VIERNES","SÁBADO","DOMINGO"}</definedName>
    <definedName name="DíasDeLaSemana">{"LUNES","MARTES","MIÉRCOLES","JUEVES","VIERNES","SÁBADO","DOMINGO"}</definedName>
    <definedName name="INFORMACIÓN" localSheetId="0">#REF!</definedName>
    <definedName name="INFORMACIÓN" localSheetId="4">#REF!</definedName>
    <definedName name="INFORMACIÓN" localSheetId="3">#REF!</definedName>
    <definedName name="INFORMACIÓN" localSheetId="2">#REF!</definedName>
    <definedName name="INFORMACIÓN" localSheetId="1">#REF!</definedName>
    <definedName name="INFORMACIÓN" localSheetId="5">#REF!</definedName>
    <definedName name="INFORMACIÓN">#REF!</definedName>
    <definedName name="InicioDeSemana" localSheetId="0">#REF!</definedName>
    <definedName name="InicioDeSemana" localSheetId="4">#REF!</definedName>
    <definedName name="InicioDeSemana" localSheetId="3">#REF!</definedName>
    <definedName name="InicioDeSemana" localSheetId="2">#REF!</definedName>
    <definedName name="InicioDeSemana" localSheetId="1">#REF!</definedName>
    <definedName name="InicioDeSemana" localSheetId="5">#REF!</definedName>
    <definedName name="InicioDeSemana">#REF!</definedName>
    <definedName name="Meses" localSheetId="0">{"Enero","Febrero","Marzo","Abril","Mayo","Junio","Julio","Agosto","Septiembre","Octubre","Noviembre","Diciembre"}</definedName>
    <definedName name="Meses" localSheetId="4">{"Enero","Febrero","Marzo","Abril","Mayo","Junio","Julio","Agosto","Septiembre","Octubre","Noviembre","Diciembre"}</definedName>
    <definedName name="Meses" localSheetId="3">{"Enero","Febrero","Marzo","Abril","Mayo","Junio","Julio","Agosto","Septiembre","Octubre","Noviembre","Diciembre"}</definedName>
    <definedName name="Meses" localSheetId="2">{"Enero","Febrero","Marzo","Abril","Mayo","Junio","Julio","Agosto","Septiembre","Octubre","Noviembre","Diciembre"}</definedName>
    <definedName name="Meses" localSheetId="1">{"Enero","Febrero","Marzo","Abril","Mayo","Junio","Julio","Agosto","Septiembre","Octubre","Noviembre","Diciembre"}</definedName>
    <definedName name="Meses" localSheetId="5">{"Enero","Febrero","Marzo","Abril","Mayo","Junio","Julio","Agosto","Septiembre","Octubre","Noviembre","Diciembre"}</definedName>
    <definedName name="Meses">{"Enero","Febrero","Marzo","Abril","Mayo","Junio","Julio","Agosto","Septiembre","Octubre","Noviembre","Diciembre"}</definedName>
    <definedName name="WeekStartValue" localSheetId="0">IF('CALENDARIO 25-26 v.1'!InicioDeSemana="LUNES",2,1)</definedName>
    <definedName name="WeekStartValue" localSheetId="4">IF('DP CALENDARIO 25-26'!InicioDeSemana="LUNES",2,1)</definedName>
    <definedName name="WeekStartValue" localSheetId="3">IF('MYP CALENDARIO 25-26'!InicioDeSemana="LUNES",2,1)</definedName>
    <definedName name="WeekStartValue" localSheetId="2">IF('PRIM. CALENDARIO 25-26'!InicioDeSemana="LUNES",2,1)</definedName>
    <definedName name="WeekStartValue" localSheetId="1">IF('PRSC. CALENDARIO 25-26'!InicioDeSemana="LUNES",2,1)</definedName>
    <definedName name="WeekStartValue" localSheetId="5">IF('STEM SOSTEN. CALENDARIO 25-26'!InicioDeSemana="LUNES",2,1)</definedName>
    <definedName name="WeekStartValue">IF(InicioDeSemana="LUNES",2,1)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  <c r="C137" i="1"/>
  <c r="C138" i="1"/>
  <c r="C139" i="1"/>
  <c r="C13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C135" i="1" s="1"/>
  <c r="G136" i="1"/>
  <c r="G137" i="1"/>
  <c r="G138" i="1"/>
  <c r="G139" i="1"/>
  <c r="G140" i="1"/>
  <c r="G141" i="1"/>
  <c r="G142" i="1"/>
  <c r="G143" i="1"/>
  <c r="G144" i="1"/>
  <c r="G145" i="1"/>
  <c r="C145" i="1" s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H52" i="6" l="1"/>
  <c r="H58" i="6" s="1"/>
  <c r="H65" i="6" s="1"/>
  <c r="H72" i="6" s="1"/>
  <c r="H79" i="6" s="1"/>
  <c r="H86" i="6" s="1"/>
  <c r="H93" i="6" s="1"/>
  <c r="H109" i="6" s="1"/>
  <c r="H114" i="6" s="1"/>
  <c r="H121" i="6" s="1"/>
  <c r="H129" i="6" s="1"/>
  <c r="H135" i="6" s="1"/>
  <c r="H143" i="6" s="1"/>
  <c r="H149" i="6" s="1"/>
  <c r="H156" i="6" s="1"/>
  <c r="H164" i="6" s="1"/>
  <c r="H170" i="6" s="1"/>
  <c r="H194" i="6" s="1"/>
  <c r="H199" i="6" s="1"/>
  <c r="H205" i="6" s="1"/>
  <c r="H212" i="6" s="1"/>
  <c r="H219" i="6" s="1"/>
  <c r="H226" i="6" s="1"/>
  <c r="H233" i="6" s="1"/>
  <c r="H240" i="6" s="1"/>
  <c r="H247" i="6" s="1"/>
  <c r="H254" i="6" s="1"/>
  <c r="H261" i="6" s="1"/>
  <c r="H269" i="6" s="1"/>
  <c r="H284" i="6" s="1"/>
  <c r="H289" i="6" s="1"/>
  <c r="H296" i="6" s="1"/>
  <c r="H303" i="6" s="1"/>
  <c r="H310" i="6" s="1"/>
  <c r="H317" i="6" s="1"/>
  <c r="H325" i="6" s="1"/>
  <c r="H331" i="6" s="1"/>
  <c r="H338" i="6" s="1"/>
  <c r="H346" i="6" s="1"/>
  <c r="G52" i="5"/>
  <c r="G58" i="5" s="1"/>
  <c r="G65" i="5" s="1"/>
  <c r="G72" i="5" s="1"/>
  <c r="G79" i="5" s="1"/>
  <c r="G86" i="5" s="1"/>
  <c r="G93" i="5" s="1"/>
  <c r="G109" i="5" s="1"/>
  <c r="G114" i="5" s="1"/>
  <c r="G121" i="5" s="1"/>
  <c r="G129" i="5" s="1"/>
  <c r="G135" i="5" s="1"/>
  <c r="G143" i="5" s="1"/>
  <c r="G149" i="5" s="1"/>
  <c r="G156" i="5" s="1"/>
  <c r="G164" i="5" s="1"/>
  <c r="G170" i="5" s="1"/>
  <c r="G194" i="5" s="1"/>
  <c r="G199" i="5" s="1"/>
  <c r="G205" i="5" s="1"/>
  <c r="G212" i="5" s="1"/>
  <c r="G219" i="5" s="1"/>
  <c r="G226" i="5" s="1"/>
  <c r="G233" i="5" s="1"/>
  <c r="G240" i="5" s="1"/>
  <c r="G247" i="5" s="1"/>
  <c r="G254" i="5" s="1"/>
  <c r="G261" i="5" s="1"/>
  <c r="G269" i="5" s="1"/>
  <c r="G284" i="5" s="1"/>
  <c r="G289" i="5" s="1"/>
  <c r="G296" i="5" s="1"/>
  <c r="G303" i="5" s="1"/>
  <c r="G310" i="5" s="1"/>
  <c r="G317" i="5" s="1"/>
  <c r="G325" i="5" s="1"/>
  <c r="G331" i="5" s="1"/>
  <c r="G338" i="5" s="1"/>
  <c r="G346" i="5" s="1"/>
  <c r="G52" i="4"/>
  <c r="G58" i="4" s="1"/>
  <c r="G65" i="4" s="1"/>
  <c r="G72" i="4" s="1"/>
  <c r="G79" i="4" s="1"/>
  <c r="G86" i="4" s="1"/>
  <c r="G93" i="4" s="1"/>
  <c r="G109" i="4" s="1"/>
  <c r="G114" i="4" s="1"/>
  <c r="G121" i="4" s="1"/>
  <c r="G129" i="4" s="1"/>
  <c r="G135" i="4" s="1"/>
  <c r="G143" i="4" s="1"/>
  <c r="G149" i="4" s="1"/>
  <c r="G156" i="4" s="1"/>
  <c r="G164" i="4" s="1"/>
  <c r="G170" i="4" s="1"/>
  <c r="G194" i="4" s="1"/>
  <c r="G199" i="4" s="1"/>
  <c r="G205" i="4" s="1"/>
  <c r="G212" i="4" s="1"/>
  <c r="G219" i="4" s="1"/>
  <c r="G226" i="4" s="1"/>
  <c r="G233" i="4" s="1"/>
  <c r="G240" i="4" s="1"/>
  <c r="G247" i="4" s="1"/>
  <c r="G254" i="4" s="1"/>
  <c r="G261" i="4" s="1"/>
  <c r="G269" i="4" s="1"/>
  <c r="G284" i="4" s="1"/>
  <c r="G289" i="4" s="1"/>
  <c r="G296" i="4" s="1"/>
  <c r="G303" i="4" s="1"/>
  <c r="G310" i="4" s="1"/>
  <c r="G317" i="4" s="1"/>
  <c r="G325" i="4" s="1"/>
  <c r="G331" i="4" s="1"/>
  <c r="G338" i="4" s="1"/>
  <c r="G346" i="4" s="1"/>
  <c r="G52" i="3"/>
  <c r="G58" i="3" s="1"/>
  <c r="G65" i="3" s="1"/>
  <c r="G72" i="3" s="1"/>
  <c r="G79" i="3" s="1"/>
  <c r="G86" i="3" s="1"/>
  <c r="G93" i="3" s="1"/>
  <c r="G109" i="3" s="1"/>
  <c r="G114" i="3" s="1"/>
  <c r="G121" i="3" s="1"/>
  <c r="G129" i="3" s="1"/>
  <c r="G135" i="3" s="1"/>
  <c r="G143" i="3" s="1"/>
  <c r="G149" i="3" s="1"/>
  <c r="G156" i="3" s="1"/>
  <c r="G164" i="3" s="1"/>
  <c r="G170" i="3" s="1"/>
  <c r="G194" i="3" s="1"/>
  <c r="G199" i="3" s="1"/>
  <c r="G205" i="3" s="1"/>
  <c r="G212" i="3" s="1"/>
  <c r="G219" i="3" s="1"/>
  <c r="G226" i="3" s="1"/>
  <c r="G233" i="3" s="1"/>
  <c r="G240" i="3" s="1"/>
  <c r="G247" i="3" s="1"/>
  <c r="G254" i="3" s="1"/>
  <c r="G261" i="3" s="1"/>
  <c r="G269" i="3" s="1"/>
  <c r="G284" i="3" s="1"/>
  <c r="G289" i="3" s="1"/>
  <c r="G296" i="3" s="1"/>
  <c r="G303" i="3" s="1"/>
  <c r="G310" i="3" s="1"/>
  <c r="G317" i="3" s="1"/>
  <c r="G325" i="3" s="1"/>
  <c r="G331" i="3" s="1"/>
  <c r="G338" i="3" s="1"/>
  <c r="G346" i="3" s="1"/>
  <c r="G52" i="2"/>
  <c r="G58" i="2" s="1"/>
  <c r="G65" i="2" s="1"/>
  <c r="G72" i="2" s="1"/>
  <c r="G79" i="2" s="1"/>
  <c r="G86" i="2" s="1"/>
  <c r="G93" i="2" s="1"/>
  <c r="G109" i="2" s="1"/>
  <c r="G114" i="2" s="1"/>
  <c r="G121" i="2" s="1"/>
  <c r="G129" i="2" s="1"/>
  <c r="G135" i="2" s="1"/>
  <c r="G143" i="2" s="1"/>
  <c r="G149" i="2" s="1"/>
  <c r="G156" i="2" s="1"/>
  <c r="G164" i="2" s="1"/>
  <c r="G170" i="2" s="1"/>
  <c r="G194" i="2" s="1"/>
  <c r="G199" i="2" s="1"/>
  <c r="G205" i="2" s="1"/>
  <c r="G212" i="2" s="1"/>
  <c r="G219" i="2" s="1"/>
  <c r="G226" i="2" s="1"/>
  <c r="G233" i="2" s="1"/>
  <c r="G240" i="2" s="1"/>
  <c r="G247" i="2" s="1"/>
  <c r="G254" i="2" s="1"/>
  <c r="G261" i="2" s="1"/>
  <c r="G269" i="2" s="1"/>
  <c r="G284" i="2" s="1"/>
  <c r="G289" i="2" s="1"/>
  <c r="G296" i="2" s="1"/>
  <c r="G303" i="2" s="1"/>
  <c r="G310" i="2" s="1"/>
  <c r="G317" i="2" s="1"/>
  <c r="G325" i="2" s="1"/>
  <c r="G331" i="2" s="1"/>
  <c r="G338" i="2" s="1"/>
  <c r="G346" i="2" s="1"/>
  <c r="L52" i="1"/>
  <c r="L58" i="1" s="1"/>
  <c r="L65" i="1" s="1"/>
  <c r="L72" i="1" s="1"/>
  <c r="L79" i="1" s="1"/>
  <c r="L86" i="1" s="1"/>
  <c r="L93" i="1" s="1"/>
  <c r="L109" i="1" s="1"/>
  <c r="L114" i="1" s="1"/>
  <c r="L121" i="1" s="1"/>
  <c r="L129" i="1" s="1"/>
  <c r="L135" i="1" s="1"/>
  <c r="L143" i="1" s="1"/>
  <c r="L149" i="1" s="1"/>
  <c r="L156" i="1" s="1"/>
  <c r="L164" i="1" s="1"/>
  <c r="L170" i="1" s="1"/>
  <c r="L194" i="1" s="1"/>
  <c r="L199" i="1" s="1"/>
  <c r="L205" i="1" s="1"/>
  <c r="L212" i="1" s="1"/>
  <c r="L219" i="1" s="1"/>
  <c r="L226" i="1" s="1"/>
  <c r="L233" i="1" s="1"/>
  <c r="L240" i="1" s="1"/>
  <c r="L247" i="1" s="1"/>
  <c r="L254" i="1" s="1"/>
  <c r="L261" i="1" s="1"/>
  <c r="L269" i="1" s="1"/>
  <c r="L284" i="1" s="1"/>
  <c r="L289" i="1" s="1"/>
  <c r="L296" i="1" s="1"/>
  <c r="L303" i="1" s="1"/>
  <c r="L310" i="1" s="1"/>
  <c r="L317" i="1" s="1"/>
  <c r="L325" i="1" s="1"/>
  <c r="L331" i="1" s="1"/>
  <c r="L338" i="1" s="1"/>
  <c r="L3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Jacome</author>
  </authors>
  <commentList>
    <comment ref="C1" authorId="0" shapeId="0" xr:uid="{72B2A954-B615-4B93-A0C7-6CCF0C2B7F21}">
      <text>
        <r>
          <rPr>
            <b/>
            <sz val="9"/>
            <color indexed="81"/>
            <rFont val="Tahoma"/>
            <family val="2"/>
          </rPr>
          <t>INTERNATIONAL CELEBRATION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Jacome</author>
  </authors>
  <commentList>
    <comment ref="C1" authorId="0" shapeId="0" xr:uid="{E17057A3-B88C-43C7-BEDB-442120B9504D}">
      <text>
        <r>
          <rPr>
            <b/>
            <sz val="9"/>
            <color indexed="81"/>
            <rFont val="Tahoma"/>
            <family val="2"/>
          </rPr>
          <t>INTERNATIONAL CELEBRATION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Jacome</author>
  </authors>
  <commentList>
    <comment ref="C1" authorId="0" shapeId="0" xr:uid="{B467A988-F599-4D16-8454-8B41E60292A7}">
      <text>
        <r>
          <rPr>
            <b/>
            <sz val="9"/>
            <color indexed="81"/>
            <rFont val="Tahoma"/>
            <family val="2"/>
          </rPr>
          <t>INTERNATIONAL CELEBRATION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Jacome</author>
  </authors>
  <commentList>
    <comment ref="C1" authorId="0" shapeId="0" xr:uid="{660D32D5-5F4B-42D2-9DA4-B3896F78CB5A}">
      <text>
        <r>
          <rPr>
            <b/>
            <sz val="9"/>
            <color indexed="81"/>
            <rFont val="Tahoma"/>
            <family val="2"/>
          </rPr>
          <t>INTERNATIONAL CELEBRATION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Jacome</author>
  </authors>
  <commentList>
    <comment ref="C1" authorId="0" shapeId="0" xr:uid="{7EAC7260-07F0-4D4D-B1FF-E4998AC02261}">
      <text>
        <r>
          <rPr>
            <b/>
            <sz val="9"/>
            <color indexed="81"/>
            <rFont val="Tahoma"/>
            <family val="2"/>
          </rPr>
          <t>INTERNATIONAL CELEBRATION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<sst xmlns="http://schemas.openxmlformats.org/spreadsheetml/2006/main" count="3659" uniqueCount="326">
  <si>
    <t>FECHA</t>
  </si>
  <si>
    <t>DÍA</t>
  </si>
  <si>
    <t>EVENTO PRINCIPAL</t>
  </si>
  <si>
    <t>PRESCOLAR</t>
  </si>
  <si>
    <t>PRIMARIA</t>
  </si>
  <si>
    <t>BACH-MYP</t>
  </si>
  <si>
    <t>BACH-DP</t>
  </si>
  <si>
    <t>E5 CHALLENGE</t>
  </si>
  <si>
    <t>EVENTO UCB</t>
  </si>
  <si>
    <t>EVENTO AACBI</t>
  </si>
  <si>
    <t>CICLOS</t>
  </si>
  <si>
    <t>SEMANAS</t>
  </si>
  <si>
    <t>DÍAS</t>
  </si>
  <si>
    <t>HORAS</t>
  </si>
  <si>
    <t>FECHAS ENGLISH</t>
  </si>
  <si>
    <t>FECHAS ANGLO</t>
  </si>
  <si>
    <t>FECHAS GCB</t>
  </si>
  <si>
    <t>FESTIVO</t>
  </si>
  <si>
    <t>V.Dir</t>
  </si>
  <si>
    <t>VACACIONES SLT</t>
  </si>
  <si>
    <t>FDS</t>
  </si>
  <si>
    <t>V.Prof</t>
  </si>
  <si>
    <t>INGRESO SLT</t>
  </si>
  <si>
    <t>V.Est</t>
  </si>
  <si>
    <t>INGRESO BIPRODEHU</t>
  </si>
  <si>
    <t>INGRESO DOCENTES NUEVOS +  CONSEJO ACADÉMICO</t>
  </si>
  <si>
    <t>INGRESO SLT Y DOCENTES NUEVOS</t>
  </si>
  <si>
    <t>INGRESO DE DOCENTES ANTIGUOS</t>
  </si>
  <si>
    <t>INGRESO DOCENTES NUEVOS</t>
  </si>
  <si>
    <t>FSD</t>
  </si>
  <si>
    <t>INGRESO ESTUDIANTES G.11 PREICFES</t>
  </si>
  <si>
    <t>INGRESO DOCENTES ANTIGUOS</t>
  </si>
  <si>
    <t>INGRESO DE DOCENTES</t>
  </si>
  <si>
    <t>G.11 PRE-ICFES</t>
  </si>
  <si>
    <t>INGRESO ESTUDIANTES NUEVOS</t>
  </si>
  <si>
    <t>CAPACITACIÓN DOCENTES EDU FÍSICA con psicólogos y/o convivencia propios y externos</t>
  </si>
  <si>
    <t>INGRESO ESTUDIANTES NUEVOS EN CIEDI</t>
  </si>
  <si>
    <t>INICIO BACHILLERATO</t>
  </si>
  <si>
    <t>INGRESO ESTUDIANTES QUE CAMBIAN DE SECCIÓN</t>
  </si>
  <si>
    <t>PRIMER DÍA BACH</t>
  </si>
  <si>
    <t>INICIO PRIMARIA</t>
  </si>
  <si>
    <t>PRIMER DÍA DE CLASES PARA TODOS</t>
  </si>
  <si>
    <t>PRIMER DÍA PRIMARIA</t>
  </si>
  <si>
    <t>INICIO PRESCOLAR</t>
  </si>
  <si>
    <t>INGRESO BACHILLERATO</t>
  </si>
  <si>
    <t>PRIMER DÍA PRESCOLAR</t>
  </si>
  <si>
    <t>INGRESO PRESCOLAR PRIMARIA</t>
  </si>
  <si>
    <t>IV Encuentro Nacional de jefes de Deportes AACBI</t>
  </si>
  <si>
    <t>OPEN DAY CIEDI</t>
  </si>
  <si>
    <t>[UCB] INAUGURACIÓN JUEGOS DEPORTIVOS UCB</t>
  </si>
  <si>
    <t>INAUGURACIÓN JUEGOS DEPORTIVOS UCB</t>
  </si>
  <si>
    <t>DÍA 0</t>
  </si>
  <si>
    <t>CUMPLEAÑOS #48 CIEDI</t>
  </si>
  <si>
    <t>ELECCIONES GOB. ESTUDIANTIL</t>
  </si>
  <si>
    <t>MULTISPORTS 5°</t>
  </si>
  <si>
    <t>INICIO REUNIONES ORGANIZACIÓN FORO DE RECTORES</t>
  </si>
  <si>
    <t>MULTISPORTS 4°</t>
  </si>
  <si>
    <t>ENCUENTROS LÚDICOS DE 3°</t>
  </si>
  <si>
    <t>ORGANIZACIÓN MODELO JR CORO LIDERAZGO CONSEJO DE CONSEJOS</t>
  </si>
  <si>
    <t>Asamblea General Ordinaria 2025</t>
  </si>
  <si>
    <t>ENCUENTROS LÚDICOS DE 2°</t>
  </si>
  <si>
    <t>FIN DE BIMESTRE I | MISA SAN FRANCISCO DE ASIS</t>
  </si>
  <si>
    <t>SEMANA DE RECESO ESCOLAR</t>
  </si>
  <si>
    <t>RECESO</t>
  </si>
  <si>
    <t>INSET #01</t>
  </si>
  <si>
    <t>INSET</t>
  </si>
  <si>
    <t>VUELVEN EST</t>
  </si>
  <si>
    <t>ENCUENTROS LÚDICOS DE 1°</t>
  </si>
  <si>
    <t>I Copa AACBI Amanecer llanero</t>
  </si>
  <si>
    <t>ENTREGA DE NOTAS #01</t>
  </si>
  <si>
    <t>LIDERAZGO CONSEJO DE CONSEJOS</t>
  </si>
  <si>
    <t>CELEBRACIÓN DÍA DE LOS NIÑOS</t>
  </si>
  <si>
    <t>XVIII Copa AACBI mayores (GimNorte)</t>
  </si>
  <si>
    <t>MODELO DE NACIONES UNIDAS UCB JR</t>
  </si>
  <si>
    <t>G9 - CAMPAMENTO CONFIRMACIÓN</t>
  </si>
  <si>
    <t>CHRISTMAS SHOW REHERSALS</t>
  </si>
  <si>
    <t>DÍA DE LA FAMILIA CIEDI "DE COLOMBIA PARA EL MUNDO"</t>
  </si>
  <si>
    <t>EVALUACIONES SEMESTRALES</t>
  </si>
  <si>
    <t>EVENTO DE SOCIALIZACIÓN A COLEGIO (HÍBRIDO)</t>
  </si>
  <si>
    <t>ÚLTIMO DÍA PRESCOLAR PRIMARIA</t>
  </si>
  <si>
    <t>ÚLTIMO DÍA BACHILLERATO Y PROFESORES</t>
  </si>
  <si>
    <t>VACACIONES</t>
  </si>
  <si>
    <t>NAVIDAD CON EXTERNOS</t>
  </si>
  <si>
    <t>FIN DE BIMESTRE II | NAVIDAD COMPARTIDA (INTERNOS)</t>
  </si>
  <si>
    <t>RECESO VACACIONAL DE NAVIDAD</t>
  </si>
  <si>
    <t>INSET #02</t>
  </si>
  <si>
    <t>INICIO DE FASE 1</t>
  </si>
  <si>
    <t>REGRESAN ESTUDIANTES Y PROFESORES</t>
  </si>
  <si>
    <t>REGRESO</t>
  </si>
  <si>
    <t>ENTREGA DE NOTAS #02</t>
  </si>
  <si>
    <t>CIERRE DE INSCRIPCIONES</t>
  </si>
  <si>
    <t>WORKSHOP #1</t>
  </si>
  <si>
    <t>I Festival y torneo de ajedrez AACBI (Bogotá)</t>
  </si>
  <si>
    <t>CORO UCB</t>
  </si>
  <si>
    <t>ENCUENTROS LÚDICOS DE 3° | CIERRE CONCURSO DE ESCRITOS</t>
  </si>
  <si>
    <t>IV copa AACBI juvenil "WE ARE ONE GAMES" (Cali)</t>
  </si>
  <si>
    <t>CIERRE DE DISEÑO Y PLANEACIÓN</t>
  </si>
  <si>
    <t>DÍAS ASÍNCRONOS</t>
  </si>
  <si>
    <t>FORO DE RECTORES</t>
  </si>
  <si>
    <t>ELECCIONES DE CONGRESO COLOMBIA</t>
  </si>
  <si>
    <t>ASAMBLEA GENERAL ORDINARIA</t>
  </si>
  <si>
    <t>BIG Games (Barranquilla)</t>
  </si>
  <si>
    <t>FINALIZA BIMESTRE III</t>
  </si>
  <si>
    <t>FESTIVAL DE DANZAS</t>
  </si>
  <si>
    <t>RECESO DE SEMANA SANTA</t>
  </si>
  <si>
    <t>INSET #03</t>
  </si>
  <si>
    <t>ENTREGA DE NOTAS #03</t>
  </si>
  <si>
    <t>IV Copa AACBI Infantil (Bogotá)</t>
  </si>
  <si>
    <t>E5 CHALLENGE?</t>
  </si>
  <si>
    <t>CELEBRACIÓN DÍA DEL MAESTRO CIEDI</t>
  </si>
  <si>
    <t>PREMIACIÓN CONCURSO DE ESCRITOS | ASAMBLEA GENERAL EXTRAORDINARIA</t>
  </si>
  <si>
    <t>II Festival pre infantil de deportes AACBI (Armenia)</t>
  </si>
  <si>
    <t>CLAUSURAS ARTÍSTICAS</t>
  </si>
  <si>
    <t>ELECCIONES PRESIDENCIALES COLOMBIA</t>
  </si>
  <si>
    <t>INSET #04</t>
  </si>
  <si>
    <t>COMISIONES DE EVALUACIÓN Y PROMOCIÓN</t>
  </si>
  <si>
    <t>CEREMONIAS DE PREMIACIÓN PRIMARIA</t>
  </si>
  <si>
    <t>FIN DE BIMESTRE IV | CEREMONIAS DE PREMIACIÓN BACHILLERATO</t>
  </si>
  <si>
    <t>TERMINACIÓN DEL AÑO</t>
  </si>
  <si>
    <t>ENTREGA DE NOTAS #04</t>
  </si>
  <si>
    <t>RECUPERACIONES</t>
  </si>
  <si>
    <t>GRADOS DE SECCIÓN (TR, G5, G9) | CURSO DE NIVELACIÓN</t>
  </si>
  <si>
    <t>ÚLTIMO DÍA DE CLASES</t>
  </si>
  <si>
    <t>ÚLTIMO DÍA DE CLASES PRESCOLAR</t>
  </si>
  <si>
    <t>CURSO DE NIVELACIÓN</t>
  </si>
  <si>
    <t>ÚLTIMO DÍA DE CLASES PRIMARIA Y BACHILLERATO - SALEN PROFESORES</t>
  </si>
  <si>
    <t>GRADOS PROM 2026 | CURSO DE NIVELACIÓN</t>
  </si>
  <si>
    <t>ÚLTIMO DÍA STAFF QUE SE VA DEL COLEGIO</t>
  </si>
  <si>
    <t>ÚLTIMO DÍA DE RECUPERACIONES</t>
  </si>
  <si>
    <t>ÚLTIMO DÍA PARA DOCENTES</t>
  </si>
  <si>
    <t>EXÁMENES DE NIVELACIÓN</t>
  </si>
  <si>
    <t>EVENTOS CIEDI</t>
  </si>
  <si>
    <t>EVENTO 1 PRESC.</t>
  </si>
  <si>
    <t>EVENTO 2 PRESC.</t>
  </si>
  <si>
    <t xml:space="preserve">Preschool Meet &amp; Greet Day (New students) </t>
  </si>
  <si>
    <t>Preschool Welcome Back Day (All students)</t>
  </si>
  <si>
    <t>Diagnostic activities</t>
  </si>
  <si>
    <t xml:space="preserve">Open Day CIEDI (All families) </t>
  </si>
  <si>
    <t>CUMPLEAÑOS #49 CIEDI</t>
  </si>
  <si>
    <t xml:space="preserve">CIEDI's Birthday </t>
  </si>
  <si>
    <t>Comités adaptación</t>
  </si>
  <si>
    <t>Swimming Lessons Begin</t>
  </si>
  <si>
    <t>Evaluation Committees I Bim</t>
  </si>
  <si>
    <t xml:space="preserve">EPC K4 PRESENCIAL 7-10 </t>
  </si>
  <si>
    <t xml:space="preserve">EPC TRA Y 1°  VIRTUAL </t>
  </si>
  <si>
    <t>Love &amp; Friendship Day</t>
  </si>
  <si>
    <t xml:space="preserve">EPC K5 VIRTUAL </t>
  </si>
  <si>
    <t xml:space="preserve">Comments draft </t>
  </si>
  <si>
    <t>Grades and Comments on Phidias</t>
  </si>
  <si>
    <t xml:space="preserve">APLICACIÓN ENCUESTA CLIMA ESCOLAR </t>
  </si>
  <si>
    <t>Entregas Especiales I Bim</t>
  </si>
  <si>
    <t>ENTREGA DE NOTAS</t>
  </si>
  <si>
    <t>CONVIVENCIA K4</t>
  </si>
  <si>
    <t>IB Learner Profile Assembly (Knowledgeable &amp; Communicators)</t>
  </si>
  <si>
    <t xml:space="preserve">Children's Day </t>
  </si>
  <si>
    <t>JORNADA DE TRABAJO BIPRODEHU E.C.</t>
  </si>
  <si>
    <t>CONVIVENCIA K5</t>
  </si>
  <si>
    <t>Nature's Field Trip - Jardín Botánico K4 + K5 + TR</t>
  </si>
  <si>
    <t xml:space="preserve">Notas parciales en Phidias </t>
  </si>
  <si>
    <t>Evaluation Committees II Bim</t>
  </si>
  <si>
    <t xml:space="preserve">CONVIVENCIA TRANSICION </t>
  </si>
  <si>
    <t xml:space="preserve">CONVIVENCIA PRIMERO </t>
  </si>
  <si>
    <t>CHRISTMAS SHOW</t>
  </si>
  <si>
    <t>Navidad Compartida</t>
  </si>
  <si>
    <t>K5 Flea Market</t>
  </si>
  <si>
    <t>Nature's Field Trip - Finca Tenjo  K4 + K5</t>
  </si>
  <si>
    <t xml:space="preserve">ENTREGA DE NOTAS </t>
  </si>
  <si>
    <t>Entregas Especiales II Bim</t>
  </si>
  <si>
    <t>IB Learner Profile Assembly (Balanced &amp; Principled )</t>
  </si>
  <si>
    <t>Nature's Field Trip - Finca Tenjo TR + 1°</t>
  </si>
  <si>
    <t>BJMS Visit - World Read Aloud Day K4 + K5 + TR + 1°</t>
  </si>
  <si>
    <t>Nature's Field Trip - Cerro La Conejera K4 + K5</t>
  </si>
  <si>
    <t xml:space="preserve">Valentine's Day </t>
  </si>
  <si>
    <t>Ash Wednesday</t>
  </si>
  <si>
    <t>EXCURSIÓN G.01</t>
  </si>
  <si>
    <t>Evaluation Committees III Bim</t>
  </si>
  <si>
    <t>IB Learner Profile Assembly (Caring &amp; Risk-takers)</t>
  </si>
  <si>
    <t xml:space="preserve">SEGUNDA APLICACIÓN ENCUESTA CLIMA ESCOLAR </t>
  </si>
  <si>
    <t>Nature's Field Trip - Cerro La Conejera TR</t>
  </si>
  <si>
    <t>IB Learner Profile Assembly (Open-minded &amp; Thinkers)</t>
  </si>
  <si>
    <t>Entregas Especiales III Bim</t>
  </si>
  <si>
    <t>English and Spanish Day</t>
  </si>
  <si>
    <t>IB Learner Profile Assembly (Inquirers &amp; Reflective)</t>
  </si>
  <si>
    <t xml:space="preserve">Teacher's Day Celebration with parents </t>
  </si>
  <si>
    <t>Evaluation Committees IIII Bim</t>
  </si>
  <si>
    <t>INQUIRY FAIR + LITERARY MILKSHAKE</t>
  </si>
  <si>
    <t>Entregas Especiales IIII Bim - Final</t>
  </si>
  <si>
    <t>EVENTO 1 PYP</t>
  </si>
  <si>
    <t>EVENTO 2 PYP</t>
  </si>
  <si>
    <t xml:space="preserve">Meet &amp; Greet Day (New students) </t>
  </si>
  <si>
    <t xml:space="preserve">Meet &amp; Greet Day (New students2nd) </t>
  </si>
  <si>
    <t>Welcome Back Day (All students)</t>
  </si>
  <si>
    <t>Hackathon niñas con energía (fecha por confirmar)</t>
  </si>
  <si>
    <t>CONVOCATORÍA DE PROYECTOS INFOMATRIX</t>
  </si>
  <si>
    <t>REFORMULACIÓN DE PROYECTOS INFOMATRIX</t>
  </si>
  <si>
    <t>notas parciales</t>
  </si>
  <si>
    <t xml:space="preserve">EPC TERCERO PRESENCIAL 7:00 A 10:00 </t>
  </si>
  <si>
    <t>PYPX EXHIBITION STARTING THE JOURNEY</t>
  </si>
  <si>
    <t xml:space="preserve">EPC SEGUNDO PRESENCIAL 7-10 a.m. </t>
  </si>
  <si>
    <t>EPC 4° Y 5° VIRTUAL ( papá Tomas Sabogal)</t>
  </si>
  <si>
    <t xml:space="preserve">Charla para padres de familia Consentidos I virtual 6:00 a 7:30 </t>
  </si>
  <si>
    <t>ENTREGA DE NOTAS TERM I</t>
  </si>
  <si>
    <t xml:space="preserve">JORNADA DE MARTES TRABAJO BIPRODEHU RESULTADOS ENCUESTA CLIMA ESCOLAR </t>
  </si>
  <si>
    <t xml:space="preserve">CONVIVENCIA SEGUNDO </t>
  </si>
  <si>
    <t xml:space="preserve">CONVIVENCIA TERCERO </t>
  </si>
  <si>
    <t>APLICACIÓN PRE TEST CONSENTIDOS I GRADO 5°</t>
  </si>
  <si>
    <t xml:space="preserve">SOCIALIZACIÓN RESULTADOS ENCUESTA CLIMA ESCOLAR </t>
  </si>
  <si>
    <t xml:space="preserve">CONVIVENCIA CUARTO </t>
  </si>
  <si>
    <t xml:space="preserve">CONVIVENCIA QUINTO </t>
  </si>
  <si>
    <t>IV SEMBRATÓN CIEDI PYP</t>
  </si>
  <si>
    <t xml:space="preserve">World Read Aloud Day </t>
  </si>
  <si>
    <t>EXCURSIÓN G.02</t>
  </si>
  <si>
    <t>G.04 - EXCURSIÓN VILLA DE LEYVA</t>
  </si>
  <si>
    <t>IIV SEMBRATÓN CIEDI  PYP</t>
  </si>
  <si>
    <t>PYPX EXHIBITION AMEVEA</t>
  </si>
  <si>
    <t>Evaluation Committees IV Bim</t>
  </si>
  <si>
    <t>LITERARY MILKSHAKE</t>
  </si>
  <si>
    <t>EVENTO 1 MYP</t>
  </si>
  <si>
    <t>EVENTO 2 MYP</t>
  </si>
  <si>
    <t>Ciclos</t>
  </si>
  <si>
    <t>Semana</t>
  </si>
  <si>
    <t>ENCUENTRO VIRTUAL CON PADRES NUEVOS GRADO SEXTO 6:00 PM</t>
  </si>
  <si>
    <t>ENCUENTRO VIRTUAL CON PADRES NUEVOS GRADO SÉPTIMO 6:00 PM</t>
  </si>
  <si>
    <t>ENCUENTRO VIRTUAL CON PADRES NUEVOS GRADO OCTAVO 6:00 PM</t>
  </si>
  <si>
    <t>ENCUENTRO VIRTUAL CON PADRES NUEVOS GRADO NOVENO 6:00 PM</t>
  </si>
  <si>
    <t xml:space="preserve">EPC NOVENO VIRTUAL </t>
  </si>
  <si>
    <t>OLIMPIADAS COLOMBIANAS DE MATEMÁTICAS "REGIONAL" ANTONIO NARIÑO</t>
  </si>
  <si>
    <t>EPC SEXTO PRESENCIAL 7- 9:30</t>
  </si>
  <si>
    <t xml:space="preserve">EPC OCTAVO  VIRTUAL </t>
  </si>
  <si>
    <t>EPC SÉPTIMO PRESENCIAL 7:00 9:30</t>
  </si>
  <si>
    <t>ASAMBLEA PERFIL PENSADORES Y COMUNICADORES A CARGO NOVENO</t>
  </si>
  <si>
    <t xml:space="preserve">Convivencia NOVENO </t>
  </si>
  <si>
    <t xml:space="preserve">   DESAYUNO ENTREGA CERTIFICADOS PROYECTO PERSONALLimite notas - PRIMERA ASAMBLEA PERFILES Y ENTREGA CERTIFICADOS DELF (7° Y 9°) - SELECCIÓN DE ESTUDIANTES DE NOVENO</t>
  </si>
  <si>
    <t>Limite comentarios</t>
  </si>
  <si>
    <t>Charla para padres de familia 9° Consentidos III presencial 7:30 a 9:00</t>
  </si>
  <si>
    <t>CONVIVENCIA COMFIRMACIÓN</t>
  </si>
  <si>
    <t>OLIMPIADAS COLOMBIANAS DE MATEMÁTICAS "REGIONAL" ANTONIO NARIÑO -SELECTIVA</t>
  </si>
  <si>
    <t>MISA DE SEXTO Y SÉPTIMO</t>
  </si>
  <si>
    <t>DELF - SÉPTIMO Y NOVENO?/ Charla para padres de familia 6° Consentidos Refuerzo I VIRTUAL DE 6:00 A 7:30 P.M.</t>
  </si>
  <si>
    <t>Preparación entrega de informes tripartita/ Charla para padres de familia 7° Consentidos II VIRTUAL 6:00 A 7:30 P.M.</t>
  </si>
  <si>
    <t>Charla para padres de familia 8° Refuerzo II VIRTUAL 6:00 A 7:30</t>
  </si>
  <si>
    <t xml:space="preserve">CONVIVENCIA SEXTO </t>
  </si>
  <si>
    <t>MISA DE OCTAVO Y NOVENO</t>
  </si>
  <si>
    <t>CONVIVENCIA OCTAVO</t>
  </si>
  <si>
    <t>INFOMATRIX</t>
  </si>
  <si>
    <t>DÍA INTERNACIONAL STEM</t>
  </si>
  <si>
    <t xml:space="preserve">APLICACIÓN DE PRE TEST CONSENTIDOS II GRADO 7° 2:00 P.M. </t>
  </si>
  <si>
    <t xml:space="preserve">SOCIALIZACIÓN ENCUESTA CLIMA ESCOLAR </t>
  </si>
  <si>
    <t xml:space="preserve">APLICACIÓN PRE TEST CONSENTIDOS III GRADO 9° 10:45 A.M. </t>
  </si>
  <si>
    <t xml:space="preserve">CONVIVENCIA SÉPTIMO </t>
  </si>
  <si>
    <t xml:space="preserve">DÍA DEL PROFESIONAL / Aplicación Te Oriento IB 9° VIRTUAL 6:00 P.M. </t>
  </si>
  <si>
    <t>SEGUNDA CONVIVENCIA CONFIRMACIÓN</t>
  </si>
  <si>
    <t>OLIMPIADAS COLOMBIANAS DE MATEMÁTICAS RONDA FINAL</t>
  </si>
  <si>
    <t>CONFESIONES DE CONFIRMANTES</t>
  </si>
  <si>
    <t>ASAMBLEA PERFIL PENSADORES Y BUENOS COMUNICADORES</t>
  </si>
  <si>
    <t>CEREMONIA CONFIRMACIÓN</t>
  </si>
  <si>
    <t>Limite de Notas</t>
  </si>
  <si>
    <t>Visita al banco de alimentos grado octavo</t>
  </si>
  <si>
    <t>Limite de comentarios</t>
  </si>
  <si>
    <t>Preparación de entrega tripartita</t>
  </si>
  <si>
    <t>MESA DE TRABAJO INERDISCIPLINARIEDAD</t>
  </si>
  <si>
    <t>MUN - CIEDI</t>
  </si>
  <si>
    <t>DELF SEXTO Y OCTAVO</t>
  </si>
  <si>
    <t>OLIMPIADA COLOMBIANA DE CIENCIAS (6,7,8,9)</t>
  </si>
  <si>
    <t>OLIMPIADA COLOMBIANA DE LINGUISTICA (9,10,11)</t>
  </si>
  <si>
    <t>FRANCOFONIA</t>
  </si>
  <si>
    <t>E-5 cHALLENGE?</t>
  </si>
  <si>
    <t>OLIMPIADAS COLOMBIANAS DE MATEMÁTICAS</t>
  </si>
  <si>
    <t>Limite Notas</t>
  </si>
  <si>
    <t>EXCURSIÓN G.06</t>
  </si>
  <si>
    <t>Preparación entrega tripartita</t>
  </si>
  <si>
    <t>MALTEADA LITERARIA MYP - SPELLING BE-FERIA TOK (ASISTE NOVENO)</t>
  </si>
  <si>
    <t>FERIA INTERNA DE PROYECTO PERSONAL</t>
  </si>
  <si>
    <t>OLIMPIADAS COLOMBIANAS DE MATEMÁTICAS PRUEBA SELECTIVA</t>
  </si>
  <si>
    <t>EXCURSIÓN G.09</t>
  </si>
  <si>
    <t>EXCURSIÓN G.07</t>
  </si>
  <si>
    <t>FERIA IMPACTA (COLABORACIÓN) - ASISTE TODO GRADO OCTAVO</t>
  </si>
  <si>
    <t>EXCURSIÓN G.08</t>
  </si>
  <si>
    <t>Fecha limite notas</t>
  </si>
  <si>
    <t>FERIA PROYECTO COMUNITARIO</t>
  </si>
  <si>
    <t>Fecha limite comentarios</t>
  </si>
  <si>
    <t>Preparación de entrega de informes tripartita /Emisión de informes académicos</t>
  </si>
  <si>
    <t>EVENTO 1 DP</t>
  </si>
  <si>
    <t>EVENTO 2 DP</t>
  </si>
  <si>
    <t xml:space="preserve">G.11 PRE-ICFES </t>
  </si>
  <si>
    <t>G.11 PRE-ICFES  Simulacro</t>
  </si>
  <si>
    <t xml:space="preserve">Aplicación Te Oriento 11 - VIRTUAL 6:00 P.M. </t>
  </si>
  <si>
    <t xml:space="preserve">Entrada de grado 11 </t>
  </si>
  <si>
    <t xml:space="preserve">EPC DÉCIMO VIRTUAL 6:00 P.M. 7:30 P.M. </t>
  </si>
  <si>
    <t>GRADOS IB</t>
  </si>
  <si>
    <t>Mesa de trabajo Musica (lidera Orlando Gomez)</t>
  </si>
  <si>
    <t xml:space="preserve">EPC ONCE VIRTUAL 6:00 P.M. 7:30 P.M. </t>
  </si>
  <si>
    <t xml:space="preserve">APLICACIÓN ENCUESTA CLIMA ESCOLAR / CONVIVENCIA DÉCIMO </t>
  </si>
  <si>
    <t xml:space="preserve">JORNADA DE MARTES BIPRODEHU RESULTADOS ENCUESTA CLIMA ESCOLAR </t>
  </si>
  <si>
    <t xml:space="preserve">CONVIVENCIA ONCE </t>
  </si>
  <si>
    <t>SOCIALIZACIÓN ENCUESTA CLIAM ESCOLAR</t>
  </si>
  <si>
    <t>CONVIVENCIA DÉCIMO</t>
  </si>
  <si>
    <t>Mesa de trabajo Monografía (lidera Angeli Bocanegra)</t>
  </si>
  <si>
    <t xml:space="preserve">Jornada IB grado once </t>
  </si>
  <si>
    <t>G.11 PRE-ICFES Simulacro</t>
  </si>
  <si>
    <t xml:space="preserve">Te Oriento 11. 10° VIRTUAL 6:00 P.M. </t>
  </si>
  <si>
    <t xml:space="preserve">EPC DÉCIMO Y ONCE AUTOGESTIÓN </t>
  </si>
  <si>
    <t xml:space="preserve">OPEN CAMPUS SABANA </t>
  </si>
  <si>
    <t>MUN CIEDI</t>
  </si>
  <si>
    <t xml:space="preserve">SEGUNDA APLICACIÓN DE ENCUESTA DE CLIMA ESCOLAR </t>
  </si>
  <si>
    <t>Exámenes Mocks 11DP</t>
  </si>
  <si>
    <t xml:space="preserve">CONVIVENCIA DÉCIMO </t>
  </si>
  <si>
    <t xml:space="preserve">DÍA DEL PROFESIONAL </t>
  </si>
  <si>
    <t>Feria de Exposición de Tok 10DP</t>
  </si>
  <si>
    <t>Exámes Externos IB 11DP</t>
  </si>
  <si>
    <t>EXCURSIÓN G.10</t>
  </si>
  <si>
    <t>Campamento Final 11DP</t>
  </si>
  <si>
    <t>EVENTO 1 STEM</t>
  </si>
  <si>
    <t>EVENTO 2 STEM</t>
  </si>
  <si>
    <t>HACKATHON UR (NOMBRE Y FECHA POR CONFIRMAR</t>
  </si>
  <si>
    <t>HACKATHON UR ACOMPAÑAMIENTO PROPUESTAS (NOMBRE Y FECHA POR CONFIRMAR</t>
  </si>
  <si>
    <t>IDEÓPOLIS ENVÍO DE PROPUESTAS (FECHA POR CONFIRMAR)</t>
  </si>
  <si>
    <t>HACKATHON UR CIERRE DE PROCESOS (NOMBRE Y FECHA POR CONFIRMAR)</t>
  </si>
  <si>
    <t>IDEÓPOLIS ACOMPAÑAMIENTO DE PROYECTOS (FECHA POR CONFIRMAR)</t>
  </si>
  <si>
    <t>INFOMATRIX INSCRIPCIONES</t>
  </si>
  <si>
    <t>IDEÓPOLIS EVALUACIÓN DE PROYECTOS (FECHA POR CONFIRMAR)</t>
  </si>
  <si>
    <t>IDEÓPOLIS CIERRE Y PREMIACIÓN (FECHA POR CONFIRMAR)</t>
  </si>
  <si>
    <t>IV SEMBRATÓN CIEDI EARLY YEARS - PYP</t>
  </si>
  <si>
    <t>IV SEMBRATÓN CIEDI MYP - DP</t>
  </si>
  <si>
    <t>IIV SEMBRATÓN CIEDI EARLY YEARS - PYP</t>
  </si>
  <si>
    <t>IIV SEMBRATÓN CIEDI MYP -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</si>
</sst>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Aptos Narrow"/>
      <charset val="1"/>
    </font>
    <font>
      <b/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shrinkToFit="1"/>
    </xf>
    <xf numFmtId="0" fontId="0" fillId="0" borderId="1" xfId="0" applyBorder="1"/>
    <xf numFmtId="164" fontId="0" fillId="0" borderId="2" xfId="0" applyNumberFormat="1" applyBorder="1"/>
    <xf numFmtId="0" fontId="2" fillId="0" borderId="0" xfId="0" applyFont="1" applyAlignment="1">
      <alignment vertical="center" shrinkToFit="1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 shrinkToFit="1"/>
    </xf>
    <xf numFmtId="0" fontId="1" fillId="2" borderId="0" xfId="0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wrapText="1" shrinkToFit="1"/>
    </xf>
    <xf numFmtId="0" fontId="3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164" fontId="3" fillId="3" borderId="5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164" fontId="0" fillId="4" borderId="0" xfId="0" applyNumberForma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 shrinkToFit="1"/>
    </xf>
    <xf numFmtId="0" fontId="2" fillId="2" borderId="0" xfId="0" applyFont="1" applyFill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4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4" borderId="0" xfId="0" applyFont="1" applyFill="1" applyAlignment="1">
      <alignment horizontal="center" vertical="center" shrinkToFit="1"/>
    </xf>
    <xf numFmtId="0" fontId="0" fillId="0" borderId="0" xfId="0" applyAlignment="1" applyProtection="1">
      <alignment vertical="center"/>
      <protection locked="0"/>
    </xf>
    <xf numFmtId="0" fontId="3" fillId="3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 shrinkToFit="1"/>
    </xf>
    <xf numFmtId="0" fontId="0" fillId="4" borderId="0" xfId="0" applyFill="1" applyAlignment="1" applyProtection="1">
      <alignment vertical="center"/>
      <protection locked="0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2" borderId="0" xfId="0" applyFill="1" applyAlignment="1" applyProtection="1">
      <alignment vertical="center"/>
      <protection locked="0"/>
    </xf>
    <xf numFmtId="164" fontId="0" fillId="5" borderId="0" xfId="0" applyNumberFormat="1" applyFill="1" applyAlignment="1">
      <alignment vertical="center"/>
    </xf>
    <xf numFmtId="0" fontId="7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 shrinkToFit="1"/>
    </xf>
    <xf numFmtId="0" fontId="4" fillId="5" borderId="0" xfId="0" applyFont="1" applyFill="1" applyAlignment="1">
      <alignment horizontal="center" vertical="center" shrinkToFit="1"/>
    </xf>
    <xf numFmtId="0" fontId="2" fillId="5" borderId="0" xfId="0" applyFont="1" applyFill="1" applyAlignment="1">
      <alignment vertical="center" shrinkToFit="1"/>
    </xf>
    <xf numFmtId="0" fontId="0" fillId="5" borderId="0" xfId="0" applyFill="1" applyAlignment="1" applyProtection="1">
      <alignment vertical="center"/>
      <protection locked="0"/>
    </xf>
    <xf numFmtId="0" fontId="7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164" fontId="0" fillId="6" borderId="0" xfId="0" applyNumberForma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 shrinkToFit="1"/>
    </xf>
    <xf numFmtId="0" fontId="4" fillId="6" borderId="0" xfId="0" applyFont="1" applyFill="1" applyAlignment="1">
      <alignment horizontal="center" vertical="center" shrinkToFit="1"/>
    </xf>
    <xf numFmtId="0" fontId="2" fillId="6" borderId="0" xfId="0" applyFont="1" applyFill="1" applyAlignment="1">
      <alignment vertical="center" shrinkToFit="1"/>
    </xf>
    <xf numFmtId="0" fontId="0" fillId="6" borderId="0" xfId="0" applyFill="1" applyAlignment="1" applyProtection="1">
      <alignment vertical="center"/>
      <protection locked="0"/>
    </xf>
    <xf numFmtId="0" fontId="1" fillId="4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left" shrinkToFit="1"/>
    </xf>
    <xf numFmtId="0" fontId="3" fillId="3" borderId="3" xfId="0" applyFont="1" applyFill="1" applyBorder="1" applyAlignment="1">
      <alignment horizontal="center" shrinkToFit="1"/>
    </xf>
    <xf numFmtId="0" fontId="7" fillId="2" borderId="0" xfId="0" applyFont="1" applyFill="1" applyAlignment="1">
      <alignment horizontal="left" vertical="center" shrinkToFit="1"/>
    </xf>
    <xf numFmtId="0" fontId="1" fillId="2" borderId="0" xfId="0" applyFont="1" applyFill="1" applyAlignment="1">
      <alignment vertical="center" shrinkToFit="1"/>
    </xf>
    <xf numFmtId="0" fontId="7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5" borderId="0" xfId="0" applyFont="1" applyFill="1" applyAlignment="1">
      <alignment horizontal="center" vertical="center" shrinkToFit="1"/>
    </xf>
    <xf numFmtId="0" fontId="1" fillId="5" borderId="0" xfId="0" applyFont="1" applyFill="1" applyAlignment="1">
      <alignment vertical="center" shrinkToFit="1"/>
    </xf>
    <xf numFmtId="0" fontId="7" fillId="4" borderId="0" xfId="0" applyFont="1" applyFill="1" applyAlignment="1">
      <alignment horizontal="left" vertical="center" shrinkToFit="1"/>
    </xf>
    <xf numFmtId="0" fontId="1" fillId="4" borderId="0" xfId="0" applyFont="1" applyFill="1" applyAlignment="1">
      <alignment vertical="center" shrinkToFit="1"/>
    </xf>
    <xf numFmtId="0" fontId="7" fillId="6" borderId="0" xfId="0" applyFont="1" applyFill="1" applyAlignment="1">
      <alignment horizontal="left" vertical="center" shrinkToFit="1"/>
    </xf>
    <xf numFmtId="0" fontId="1" fillId="6" borderId="0" xfId="0" applyFont="1" applyFill="1" applyAlignment="1">
      <alignment vertical="center" shrinkToFit="1"/>
    </xf>
    <xf numFmtId="0" fontId="7" fillId="5" borderId="0" xfId="0" applyFont="1" applyFill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1" fillId="4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vertical="center" shrinkToFit="1"/>
    </xf>
    <xf numFmtId="0" fontId="0" fillId="0" borderId="1" xfId="0" applyBorder="1" applyAlignment="1">
      <alignment shrinkToFit="1"/>
    </xf>
    <xf numFmtId="0" fontId="3" fillId="3" borderId="0" xfId="0" applyFont="1" applyFill="1" applyAlignment="1">
      <alignment horizontal="center" shrinkToFit="1"/>
    </xf>
    <xf numFmtId="0" fontId="1" fillId="2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1" fillId="5" borderId="0" xfId="0" applyFont="1" applyFill="1" applyAlignment="1" applyProtection="1">
      <alignment vertical="center"/>
      <protection locked="0"/>
    </xf>
    <xf numFmtId="0" fontId="1" fillId="4" borderId="0" xfId="0" applyFont="1" applyFill="1" applyAlignment="1" applyProtection="1">
      <alignment vertical="center"/>
      <protection locked="0"/>
    </xf>
    <xf numFmtId="0" fontId="1" fillId="6" borderId="0" xfId="0" applyFont="1" applyFill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0" fontId="0" fillId="2" borderId="0" xfId="0" applyFill="1" applyAlignment="1">
      <alignment vertical="center" wrapText="1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 shrinkToFit="1"/>
    </xf>
    <xf numFmtId="0" fontId="7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 shrinkToFit="1"/>
    </xf>
    <xf numFmtId="0" fontId="1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 shrinkToFit="1"/>
    </xf>
    <xf numFmtId="0" fontId="1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 shrinkToFit="1"/>
    </xf>
    <xf numFmtId="0" fontId="1" fillId="6" borderId="0" xfId="0" applyFont="1" applyFill="1" applyAlignment="1">
      <alignment vertical="center" wrapText="1"/>
    </xf>
    <xf numFmtId="0" fontId="0" fillId="6" borderId="0" xfId="0" applyFill="1" applyAlignment="1">
      <alignment vertical="center" wrapText="1" shrinkToFit="1"/>
    </xf>
    <xf numFmtId="0" fontId="1" fillId="7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 shrinkToFi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 shrinkToFit="1"/>
    </xf>
    <xf numFmtId="164" fontId="9" fillId="3" borderId="5" xfId="0" applyNumberFormat="1" applyFont="1" applyFill="1" applyBorder="1" applyAlignment="1">
      <alignment wrapText="1"/>
    </xf>
    <xf numFmtId="0" fontId="7" fillId="3" borderId="4" xfId="0" applyFont="1" applyFill="1" applyBorder="1" applyAlignment="1">
      <alignment shrinkToFit="1"/>
    </xf>
    <xf numFmtId="0" fontId="9" fillId="3" borderId="3" xfId="0" applyFont="1" applyFill="1" applyBorder="1" applyAlignment="1">
      <alignment shrinkToFit="1"/>
    </xf>
    <xf numFmtId="0" fontId="9" fillId="3" borderId="0" xfId="0" applyFont="1" applyFill="1" applyAlignment="1">
      <alignment wrapText="1"/>
    </xf>
    <xf numFmtId="0" fontId="12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9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49F962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>
          <fgColor indexed="64"/>
          <bgColor rgb="FF002060"/>
        </patternFill>
      </fill>
      <alignment horizontal="center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>
          <fgColor indexed="64"/>
          <bgColor rgb="FF002060"/>
        </patternFill>
      </fill>
      <alignment horizontal="center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>
          <fgColor indexed="64"/>
          <bgColor rgb="FF002060"/>
        </patternFill>
      </fill>
      <alignment horizontal="center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>
          <fgColor indexed="64"/>
          <bgColor rgb="FF002060"/>
        </patternFill>
      </fill>
      <alignment horizontal="center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1" readingOrder="0"/>
      <protection locked="1" hidden="0"/>
    </dxf>
    <dxf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>
          <fgColor indexed="64"/>
          <bgColor rgb="FF002060"/>
        </patternFill>
      </fill>
      <alignment horizontal="center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1" readingOrder="0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numFmt numFmtId="164" formatCode="[$-F800]dddd\,\ mmmm\ dd\,\ 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>
          <fgColor indexed="64"/>
          <bgColor rgb="FF002060"/>
        </patternFill>
      </fill>
      <alignment horizontal="center" vertical="bottom" textRotation="0" wrapText="1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49F9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0A5B6-B14D-4005-9107-247A509B26AE}" name="Table3" displayName="Table3" ref="A1:Q408" totalsRowShown="0" headerRowDxfId="96" dataDxfId="95">
  <autoFilter ref="A1:Q408" xr:uid="{CE2B2FE0-06C5-4EAB-929F-C9A68F235A7C}">
    <filterColumn colId="0">
      <filters>
        <dateGroupItem year="2026" dateTimeGrouping="year"/>
      </filters>
    </filterColumn>
  </autoFilter>
  <sortState xmlns:xlrd2="http://schemas.microsoft.com/office/spreadsheetml/2017/richdata2" ref="A2:N398">
    <sortCondition ref="A1:A398"/>
  </sortState>
  <tableColumns count="17">
    <tableColumn id="1" xr3:uid="{7DC94B20-8B76-43E5-8775-709E0674FB7C}" name="FECHA" dataDxfId="94"/>
    <tableColumn id="2" xr3:uid="{40BA73BC-E0A6-4789-916E-FEC7CC91B0B6}" name="DÍA" dataDxfId="93"/>
    <tableColumn id="9" xr3:uid="{D2806C2C-A152-435A-93F6-BC756CBB8215}" name="EVENTO PRINCIPAL" dataDxfId="92"/>
    <tableColumn id="16" xr3:uid="{486390E5-0268-4B54-BEAB-A678FB0F7167}" name="PRESCOLAR" dataDxfId="91">
      <calculatedColumnFormula>Table33[[#This Row],[EVENTO 1 PRESC.]]&amp;" + "&amp;Table33[[#This Row],[EVENTO 2 PRESC.]]</calculatedColumnFormula>
    </tableColumn>
    <tableColumn id="15" xr3:uid="{D226DF28-B35A-4C7F-BBAB-1584282F9B9B}" name="PRIMARIA" dataDxfId="90">
      <calculatedColumnFormula>Table334[[#This Row],[EVENTO 1 PYP]]&amp;" + "&amp;Table334[[#This Row],[EVENTO 2 PYP]]</calculatedColumnFormula>
    </tableColumn>
    <tableColumn id="10" xr3:uid="{6A0A47F9-9EBB-4A45-B9F2-95AA02E6DB8F}" name="BACH-MYP" dataDxfId="89">
      <calculatedColumnFormula>Table3345[[#This Row],[EVENTO 1 MYP]]&amp;" + "&amp;Table3345[[#This Row],[EVENTO 2 MYP]]</calculatedColumnFormula>
    </tableColumn>
    <tableColumn id="8" xr3:uid="{553BE338-1743-4232-A477-92472E3919F3}" name="BACH-DP" dataDxfId="88">
      <calculatedColumnFormula>Table33456[[#This Row],[EVENTO 1 DP]]&amp;" + "&amp;Table33456[[#This Row],[EVENTO 2 DP]]</calculatedColumnFormula>
    </tableColumn>
    <tableColumn id="17" xr3:uid="{A4FE0926-4280-4E64-B732-0EA9F0EC121F}" name="E5 CHALLENGE" dataDxfId="87"/>
    <tableColumn id="6" xr3:uid="{6320D9EB-5983-48BD-96A0-3C5020764B62}" name="EVENTO UCB" dataDxfId="86"/>
    <tableColumn id="7" xr3:uid="{D5811F0C-807B-475D-BAB7-994D67425A77}" name="EVENTO AACBI" dataDxfId="85"/>
    <tableColumn id="14" xr3:uid="{2724E3E9-908E-4EA0-9809-3FD4C131F0EE}" name="CICLOS" dataDxfId="84"/>
    <tableColumn id="13" xr3:uid="{8D9F7D76-8408-4391-9D4D-14C687AFE8A1}" name="SEMANAS" dataDxfId="83"/>
    <tableColumn id="12" xr3:uid="{E507C16E-9A5E-41D1-9957-0B1A00C45DF8}" name="DÍAS" dataDxfId="82"/>
    <tableColumn id="11" xr3:uid="{BA8CB84D-1594-4551-A076-2EC16B94B1AC}" name="HORAS" dataDxfId="81"/>
    <tableColumn id="3" xr3:uid="{4054EAC8-67F9-4C44-8D4C-2D8168B22ABC}" name="FECHAS ENGLISH" dataDxfId="80"/>
    <tableColumn id="4" xr3:uid="{4CEFC406-2875-4466-A582-08966D0CA231}" name="FECHAS ANGLO" dataDxfId="79"/>
    <tableColumn id="5" xr3:uid="{713903DD-ECBB-43B0-B55B-7FC663FFD3DE}" name="FECHAS GCB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5B0F94-E1D5-485B-991C-52C38FBF9AAE}" name="Table33" displayName="Table33" ref="A1:L408" totalsRowShown="0" headerRowDxfId="77" dataDxfId="76">
  <autoFilter ref="A1:L408" xr:uid="{CE2B2FE0-06C5-4EAB-929F-C9A68F235A7C}"/>
  <sortState xmlns:xlrd2="http://schemas.microsoft.com/office/spreadsheetml/2017/richdata2" ref="A2:I398">
    <sortCondition ref="A1:A398"/>
  </sortState>
  <tableColumns count="12">
    <tableColumn id="1" xr3:uid="{1FC47CF6-2789-4D47-B1C4-F6D6B66B6103}" name="FECHA" dataDxfId="75"/>
    <tableColumn id="2" xr3:uid="{D0F5F80A-1736-48F3-A0D9-9E0237227501}" name="DÍA" dataDxfId="74"/>
    <tableColumn id="9" xr3:uid="{05D62048-1F1E-4D34-A75F-47B71D0E0D33}" name="EVENTOS CIEDI" dataDxfId="73"/>
    <tableColumn id="10" xr3:uid="{4A2EAB86-2440-49A1-B581-D05F59A66ECF}" name="EVENTO 1 PRESC." dataDxfId="72"/>
    <tableColumn id="8" xr3:uid="{13A06AC0-A46C-4ED8-8CD6-02B6CE8D0ACF}" name="EVENTO 2 PRESC." dataDxfId="71"/>
    <tableColumn id="14" xr3:uid="{F9CD3145-C49C-4BF1-8904-06AE9D0C6E2C}" name="CICLOS" dataDxfId="70"/>
    <tableColumn id="13" xr3:uid="{43B58EB9-842C-4288-8861-C34CDBEBE482}" name="SEMANAS" dataDxfId="69"/>
    <tableColumn id="12" xr3:uid="{F8BED3D6-C0B6-44E6-9139-B892698972BF}" name="DÍAS" dataDxfId="68"/>
    <tableColumn id="11" xr3:uid="{42779606-30F2-444C-B537-793E7E4E2FC5}" name="HORAS" dataDxfId="67"/>
    <tableColumn id="3" xr3:uid="{FFA51CBD-C3B2-4DD2-A5E8-B68D8541BE71}" name="FECHAS ENGLISH" dataDxfId="66"/>
    <tableColumn id="4" xr3:uid="{42A85D63-9583-415F-B227-43E01C344FE6}" name="FECHAS ANGLO" dataDxfId="65"/>
    <tableColumn id="5" xr3:uid="{AF5268EE-CD45-4223-8B05-21ED7A6E9FBD}" name="FECHAS GCB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B0738-A784-4F2B-981B-3E43C99A3763}" name="Table334" displayName="Table334" ref="A1:L408" totalsRowShown="0" headerRowDxfId="63" dataDxfId="62">
  <autoFilter ref="A1:L408" xr:uid="{CE2B2FE0-06C5-4EAB-929F-C9A68F235A7C}"/>
  <sortState xmlns:xlrd2="http://schemas.microsoft.com/office/spreadsheetml/2017/richdata2" ref="A2:I398">
    <sortCondition ref="A1:A398"/>
  </sortState>
  <tableColumns count="12">
    <tableColumn id="1" xr3:uid="{AA6B90F1-3197-4C72-B332-A5AAC2267FA4}" name="FECHA" dataDxfId="61"/>
    <tableColumn id="2" xr3:uid="{40C9E123-C286-4AB4-9241-1F8B254C6E0E}" name="DÍA" dataDxfId="60"/>
    <tableColumn id="9" xr3:uid="{CFC5EA63-8299-4B68-9045-E57EA0997849}" name="EVENTOS CIEDI" dataDxfId="59"/>
    <tableColumn id="10" xr3:uid="{AC20498E-7AAF-4CAE-B129-642168FBF14C}" name="EVENTO 1 PYP" dataDxfId="58"/>
    <tableColumn id="8" xr3:uid="{725DB9F1-FA14-4DB2-AA01-E6497CEE3BA2}" name="EVENTO 2 PYP" dataDxfId="57"/>
    <tableColumn id="14" xr3:uid="{6AC28EA9-EC9C-46CE-A199-3E85A3F64D87}" name="CICLOS" dataDxfId="56"/>
    <tableColumn id="13" xr3:uid="{0E4FD6A3-536F-4C15-9662-F3292ADED116}" name="SEMANAS" dataDxfId="55"/>
    <tableColumn id="12" xr3:uid="{F2762798-9B85-4B05-B310-B2C509EFFE50}" name="DÍAS" dataDxfId="54"/>
    <tableColumn id="11" xr3:uid="{E105377A-D703-4408-86ED-AC6F93BD610C}" name="HORAS" dataDxfId="53"/>
    <tableColumn id="3" xr3:uid="{9057982E-4F94-43E9-A87B-20878916DA6B}" name="FECHAS ENGLISH" dataDxfId="52"/>
    <tableColumn id="4" xr3:uid="{D5DBF667-7B25-458E-8E06-98A05B0831C2}" name="FECHAS ANGLO" dataDxfId="51"/>
    <tableColumn id="5" xr3:uid="{210DBEBF-C2F1-44B4-995E-88191F4A81A9}" name="FECHAS GCB" dataDxfId="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891FD8-7E09-4229-92ED-3F31E88588BA}" name="Table3345" displayName="Table3345" ref="A1:L408" totalsRowShown="0" headerRowDxfId="49" dataDxfId="48">
  <autoFilter ref="A1:L408" xr:uid="{CE2B2FE0-06C5-4EAB-929F-C9A68F235A7C}"/>
  <sortState xmlns:xlrd2="http://schemas.microsoft.com/office/spreadsheetml/2017/richdata2" ref="A2:I398">
    <sortCondition ref="A1:A398"/>
  </sortState>
  <tableColumns count="12">
    <tableColumn id="1" xr3:uid="{A2664FE0-4D1A-41E3-91F6-BDD81CBA639F}" name="FECHA" dataDxfId="47"/>
    <tableColumn id="2" xr3:uid="{AB08FA94-FCEA-41CB-8604-4785F5B1246F}" name="DÍA" dataDxfId="46"/>
    <tableColumn id="9" xr3:uid="{334527FD-8EF5-4DD5-902F-64DEC3F67DC7}" name="EVENTOS CIEDI" dataDxfId="45"/>
    <tableColumn id="10" xr3:uid="{E4F93A79-2CB2-4193-8855-FD343F9029B5}" name="EVENTO 1 MYP" dataDxfId="44"/>
    <tableColumn id="8" xr3:uid="{87A3C7FE-4DF8-4888-9980-8E09FA88F513}" name="EVENTO 2 MYP" dataDxfId="43"/>
    <tableColumn id="14" xr3:uid="{B2EBC81E-C987-4AFD-8BBF-88C1F344C3D5}" name="Ciclos" dataDxfId="42"/>
    <tableColumn id="13" xr3:uid="{C92B04EC-A3FC-4204-B5D5-F2420FFBA663}" name="Semana" dataDxfId="41"/>
    <tableColumn id="12" xr3:uid="{5A497E3D-C6B0-4EE6-B911-B8D62156418A}" name="DÍAS" dataDxfId="40"/>
    <tableColumn id="11" xr3:uid="{23F6C413-20D2-4AC8-8F3C-376ED7E2C47F}" name="HORAS" dataDxfId="39"/>
    <tableColumn id="3" xr3:uid="{A3E1EF65-99CE-4C9F-B689-7677632E191E}" name="FECHAS ENGLISH" dataDxfId="38"/>
    <tableColumn id="4" xr3:uid="{1B4194A4-53D3-4BCD-B7BF-127948A34089}" name="FECHAS ANGLO" dataDxfId="37"/>
    <tableColumn id="5" xr3:uid="{E9A2AFF6-E149-421D-8A13-085E4B90B6ED}" name="FECHAS GCB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BB1DAB-0B79-41E1-8EC4-926150B6B99C}" name="Table33456" displayName="Table33456" ref="A1:L408" totalsRowShown="0" headerRowDxfId="35" dataDxfId="34">
  <autoFilter ref="A1:L408" xr:uid="{CE2B2FE0-06C5-4EAB-929F-C9A68F235A7C}"/>
  <sortState xmlns:xlrd2="http://schemas.microsoft.com/office/spreadsheetml/2017/richdata2" ref="A2:I398">
    <sortCondition ref="A1:A398"/>
  </sortState>
  <tableColumns count="12">
    <tableColumn id="1" xr3:uid="{BB83A44F-6DE9-4546-B673-333D1F8B32B5}" name="FECHA" dataDxfId="33"/>
    <tableColumn id="2" xr3:uid="{3C142F5C-FFB8-4133-836E-D6F492329C48}" name="DÍA" dataDxfId="32"/>
    <tableColumn id="9" xr3:uid="{B12CF9A9-C61A-4DA8-A282-46A19E9564B1}" name="EVENTOS CIEDI" dataDxfId="31"/>
    <tableColumn id="10" xr3:uid="{79F348CF-715B-4D61-931D-D59D8E20D6E2}" name="EVENTO 1 DP" dataDxfId="30"/>
    <tableColumn id="8" xr3:uid="{28699048-54F0-4626-A47C-9A91BE13B9CA}" name="EVENTO 2 DP" dataDxfId="29"/>
    <tableColumn id="14" xr3:uid="{B7EA8704-4017-417E-9966-4AF4BF2F747E}" name="CICLOS" dataDxfId="28"/>
    <tableColumn id="13" xr3:uid="{4D6DAB58-2D38-442C-B730-96A1A6C895A1}" name="SEMANAS" dataDxfId="27"/>
    <tableColumn id="12" xr3:uid="{ED7E30D9-6E0D-4160-8A4C-7E78F499BD6A}" name="DÍAS" dataDxfId="26"/>
    <tableColumn id="11" xr3:uid="{A2ACA9F7-2267-4D3B-B71C-F9B77D8764AA}" name="HORAS" dataDxfId="25"/>
    <tableColumn id="3" xr3:uid="{9135C2B4-F7FD-4342-A026-C48B437D6F3D}" name="FECHAS ENGLISH" dataDxfId="24"/>
    <tableColumn id="4" xr3:uid="{6B137CB9-4608-4911-BC7C-540300702234}" name="FECHAS ANGLO" dataDxfId="23"/>
    <tableColumn id="5" xr3:uid="{6ECE51E4-8EF7-45F5-BF86-000BCEE4D688}" name="FECHAS GCB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51275E-6E37-42AE-905D-E304A24C2802}" name="Table334567" displayName="Table334567" ref="A1:M408" totalsRowShown="0" headerRowDxfId="21" dataDxfId="20">
  <autoFilter ref="A1:M408" xr:uid="{CE2B2FE0-06C5-4EAB-929F-C9A68F235A7C}"/>
  <sortState xmlns:xlrd2="http://schemas.microsoft.com/office/spreadsheetml/2017/richdata2" ref="A2:J398">
    <sortCondition ref="A1:A398"/>
  </sortState>
  <tableColumns count="13">
    <tableColumn id="1" xr3:uid="{CF23A805-0851-4CA2-AB77-B2D301738270}" name="FECHA" dataDxfId="19"/>
    <tableColumn id="2" xr3:uid="{5496978B-1AB5-4435-BD76-B43A03DFB637}" name="DÍA" dataDxfId="18"/>
    <tableColumn id="9" xr3:uid="{23C46763-5838-4237-B852-8FF3D98CE215}" name="EVENTOS CIEDI" dataDxfId="17"/>
    <tableColumn id="6" xr3:uid="{16A93173-C9AF-48D6-B921-05228338C3ED}" name="E5 CHALLENGE" dataDxfId="16"/>
    <tableColumn id="10" xr3:uid="{D4008A33-E266-45F6-982A-0DCF99044FCC}" name="EVENTO 1 STEM" dataDxfId="15"/>
    <tableColumn id="8" xr3:uid="{EEADC589-29EC-4A7B-918F-CF556254CC1B}" name="EVENTO 2 STEM" dataDxfId="14"/>
    <tableColumn id="14" xr3:uid="{B2C47B9C-3FCF-488F-A76D-D0232345D4F8}" name="CICLOS" dataDxfId="13"/>
    <tableColumn id="13" xr3:uid="{9DD38014-8164-4878-9255-E7912D123B74}" name="SEMANAS" dataDxfId="12"/>
    <tableColumn id="12" xr3:uid="{FF690B03-72E1-47BF-BEBF-6E9A1EDC4450}" name="DÍAS" dataDxfId="11"/>
    <tableColumn id="11" xr3:uid="{3EA00953-63D7-4B32-AFC9-801B24F69BFB}" name="HORAS" dataDxfId="10"/>
    <tableColumn id="3" xr3:uid="{A6937EC4-C499-4E82-BA05-AA764230C39C}" name="FECHAS ENGLISH" dataDxfId="9"/>
    <tableColumn id="4" xr3:uid="{1512AE87-14C7-4BD2-ADC8-ED557232BBEC}" name="FECHAS ANGLO" dataDxfId="8"/>
    <tableColumn id="5" xr3:uid="{1FBCDC20-56BC-4F38-87B9-D811B4219B08}" name="FECHAS GCB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FB7D-6D45-48D8-88F3-463A7F8A71AC}">
  <dimension ref="A1:V408"/>
  <sheetViews>
    <sheetView tabSelected="1" zoomScale="90" zoomScaleNormal="90" workbookViewId="0">
      <pane xSplit="1" ySplit="1" topLeftCell="B187" activePane="bottomRight" state="frozen"/>
      <selection pane="topRight" activeCell="B1" sqref="B1"/>
      <selection pane="bottomLeft" activeCell="A2" sqref="A2"/>
      <selection pane="bottomRight" activeCell="I14" sqref="I14"/>
    </sheetView>
  </sheetViews>
  <sheetFormatPr baseColWidth="10" defaultColWidth="10.5" defaultRowHeight="15" x14ac:dyDescent="0.2"/>
  <cols>
    <col min="1" max="1" width="31.33203125" style="4" bestFit="1" customWidth="1"/>
    <col min="3" max="3" width="53.5" style="3" customWidth="1"/>
    <col min="4" max="4" width="29.1640625" customWidth="1"/>
    <col min="5" max="7" width="29.1640625" style="3" customWidth="1"/>
    <col min="8" max="12" width="13.6640625" style="3" customWidth="1"/>
    <col min="13" max="14" width="10.5" style="2"/>
    <col min="15" max="16" width="13" style="2" customWidth="1"/>
    <col min="17" max="17" width="13" customWidth="1"/>
    <col min="23" max="16384" width="10.5" style="1"/>
  </cols>
  <sheetData>
    <row r="1" spans="1:22" s="11" customFormat="1" ht="75" x14ac:dyDescent="0.3">
      <c r="A1" s="15" t="s">
        <v>0</v>
      </c>
      <c r="B1" s="14" t="s">
        <v>1</v>
      </c>
      <c r="C1" s="13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30" t="s">
        <v>14</v>
      </c>
      <c r="P1" s="30" t="s">
        <v>15</v>
      </c>
      <c r="Q1" s="30" t="s">
        <v>16</v>
      </c>
    </row>
    <row r="2" spans="1:22" ht="24" hidden="1" x14ac:dyDescent="0.2">
      <c r="A2" s="10">
        <v>45838</v>
      </c>
      <c r="B2" s="23" t="s">
        <v>17</v>
      </c>
      <c r="C2" s="9"/>
      <c r="D2" s="85" t="str">
        <f>Table33[[#This Row],[EVENTO 1 PRESC.]]&amp;" + "&amp;Table33[[#This Row],[EVENTO 2 PRESC.]]</f>
        <v xml:space="preserve"> + </v>
      </c>
      <c r="E2" s="85" t="str">
        <f>Table334[[#This Row],[EVENTO 1 PYP]]&amp;" + "&amp;Table334[[#This Row],[EVENTO 2 PYP]]</f>
        <v xml:space="preserve"> + </v>
      </c>
      <c r="F2" s="85" t="str">
        <f>Table3345[[#This Row],[EVENTO 1 MYP]]&amp;" + "&amp;Table3345[[#This Row],[EVENTO 2 MYP]]</f>
        <v xml:space="preserve"> + </v>
      </c>
      <c r="G2" s="85" t="str">
        <f>Table33456[[#This Row],[EVENTO 1 DP]]&amp;" + "&amp;Table33456[[#This Row],[EVENTO 2 DP]]</f>
        <v xml:space="preserve"> + </v>
      </c>
      <c r="H2" s="85"/>
      <c r="I2" s="88"/>
      <c r="J2" s="88"/>
      <c r="K2" s="20"/>
      <c r="L2" s="26"/>
      <c r="M2" s="8"/>
      <c r="N2" s="8"/>
      <c r="O2" s="29"/>
      <c r="P2" s="29"/>
      <c r="Q2" s="29"/>
      <c r="U2" s="1"/>
      <c r="V2" s="1"/>
    </row>
    <row r="3" spans="1:22" ht="24" hidden="1" x14ac:dyDescent="0.2">
      <c r="A3" s="7">
        <v>45839</v>
      </c>
      <c r="B3" s="24" t="s">
        <v>18</v>
      </c>
      <c r="C3" s="53" t="s">
        <v>19</v>
      </c>
      <c r="D3" s="89" t="str">
        <f>Table33[[#This Row],[EVENTO 1 PRESC.]]&amp;" + "&amp;Table33[[#This Row],[EVENTO 2 PRESC.]]</f>
        <v xml:space="preserve"> + </v>
      </c>
      <c r="E3" s="89" t="str">
        <f>Table334[[#This Row],[EVENTO 1 PYP]]&amp;" + "&amp;Table334[[#This Row],[EVENTO 2 PYP]]</f>
        <v xml:space="preserve"> + </v>
      </c>
      <c r="F3" s="89" t="str">
        <f>Table3345[[#This Row],[EVENTO 1 MYP]]&amp;" + "&amp;Table3345[[#This Row],[EVENTO 2 MYP]]</f>
        <v xml:space="preserve"> + </v>
      </c>
      <c r="G3" s="89" t="str">
        <f>Table33456[[#This Row],[EVENTO 1 DP]]&amp;" + "&amp;Table33456[[#This Row],[EVENTO 2 DP]]</f>
        <v xml:space="preserve"> + </v>
      </c>
      <c r="H3" s="89"/>
      <c r="I3" s="90"/>
      <c r="J3" s="90"/>
      <c r="K3" s="21"/>
      <c r="L3" s="27"/>
      <c r="M3" s="5"/>
      <c r="N3" s="5"/>
      <c r="O3" s="29"/>
      <c r="P3" s="29"/>
      <c r="Q3" s="29"/>
      <c r="U3" s="1"/>
      <c r="V3" s="1"/>
    </row>
    <row r="4" spans="1:22" ht="24" hidden="1" x14ac:dyDescent="0.2">
      <c r="A4" s="7">
        <v>45840</v>
      </c>
      <c r="B4" s="24" t="s">
        <v>18</v>
      </c>
      <c r="C4" s="53" t="s">
        <v>19</v>
      </c>
      <c r="D4" s="89" t="str">
        <f>Table33[[#This Row],[EVENTO 1 PRESC.]]&amp;" + "&amp;Table33[[#This Row],[EVENTO 2 PRESC.]]</f>
        <v xml:space="preserve"> + </v>
      </c>
      <c r="E4" s="89" t="str">
        <f>Table334[[#This Row],[EVENTO 1 PYP]]&amp;" + "&amp;Table334[[#This Row],[EVENTO 2 PYP]]</f>
        <v xml:space="preserve"> + </v>
      </c>
      <c r="F4" s="89" t="str">
        <f>Table3345[[#This Row],[EVENTO 1 MYP]]&amp;" + "&amp;Table3345[[#This Row],[EVENTO 2 MYP]]</f>
        <v xml:space="preserve"> + </v>
      </c>
      <c r="G4" s="89" t="str">
        <f>Table33456[[#This Row],[EVENTO 1 DP]]&amp;" + "&amp;Table33456[[#This Row],[EVENTO 2 DP]]</f>
        <v xml:space="preserve"> + </v>
      </c>
      <c r="H4" s="89"/>
      <c r="I4" s="90"/>
      <c r="J4" s="90"/>
      <c r="K4" s="21"/>
      <c r="L4" s="27"/>
      <c r="M4" s="5"/>
      <c r="N4" s="5"/>
      <c r="O4" s="29"/>
      <c r="P4" s="29"/>
      <c r="Q4" s="29"/>
      <c r="U4" s="1"/>
      <c r="V4" s="1"/>
    </row>
    <row r="5" spans="1:22" ht="24" hidden="1" x14ac:dyDescent="0.2">
      <c r="A5" s="7">
        <v>45841</v>
      </c>
      <c r="B5" s="24" t="s">
        <v>18</v>
      </c>
      <c r="C5" s="53" t="s">
        <v>19</v>
      </c>
      <c r="D5" s="89" t="str">
        <f>Table33[[#This Row],[EVENTO 1 PRESC.]]&amp;" + "&amp;Table33[[#This Row],[EVENTO 2 PRESC.]]</f>
        <v xml:space="preserve"> + </v>
      </c>
      <c r="E5" s="89" t="str">
        <f>Table334[[#This Row],[EVENTO 1 PYP]]&amp;" + "&amp;Table334[[#This Row],[EVENTO 2 PYP]]</f>
        <v xml:space="preserve"> + </v>
      </c>
      <c r="F5" s="89" t="str">
        <f>Table3345[[#This Row],[EVENTO 1 MYP]]&amp;" + "&amp;Table3345[[#This Row],[EVENTO 2 MYP]]</f>
        <v xml:space="preserve"> + </v>
      </c>
      <c r="G5" s="89" t="str">
        <f>Table33456[[#This Row],[EVENTO 1 DP]]&amp;" + "&amp;Table33456[[#This Row],[EVENTO 2 DP]]</f>
        <v xml:space="preserve"> + </v>
      </c>
      <c r="H5" s="89"/>
      <c r="I5" s="90"/>
      <c r="J5" s="90"/>
      <c r="K5" s="21"/>
      <c r="L5" s="27"/>
      <c r="M5" s="5"/>
      <c r="N5" s="5"/>
      <c r="O5" s="29"/>
      <c r="P5" s="29"/>
      <c r="Q5" s="29"/>
      <c r="U5" s="1"/>
      <c r="V5" s="1"/>
    </row>
    <row r="6" spans="1:22" ht="24" hidden="1" x14ac:dyDescent="0.2">
      <c r="A6" s="7">
        <v>45842</v>
      </c>
      <c r="B6" s="24" t="s">
        <v>18</v>
      </c>
      <c r="C6" s="53" t="s">
        <v>19</v>
      </c>
      <c r="D6" s="89" t="str">
        <f>Table33[[#This Row],[EVENTO 1 PRESC.]]&amp;" + "&amp;Table33[[#This Row],[EVENTO 2 PRESC.]]</f>
        <v xml:space="preserve"> + </v>
      </c>
      <c r="E6" s="89" t="str">
        <f>Table334[[#This Row],[EVENTO 1 PYP]]&amp;" + "&amp;Table334[[#This Row],[EVENTO 2 PYP]]</f>
        <v xml:space="preserve"> + </v>
      </c>
      <c r="F6" s="89" t="str">
        <f>Table3345[[#This Row],[EVENTO 1 MYP]]&amp;" + "&amp;Table3345[[#This Row],[EVENTO 2 MYP]]</f>
        <v xml:space="preserve"> + </v>
      </c>
      <c r="G6" s="89" t="str">
        <f>Table33456[[#This Row],[EVENTO 1 DP]]&amp;" + "&amp;Table33456[[#This Row],[EVENTO 2 DP]]</f>
        <v xml:space="preserve"> + </v>
      </c>
      <c r="H6" s="89"/>
      <c r="I6" s="90"/>
      <c r="J6" s="90"/>
      <c r="K6" s="21"/>
      <c r="L6" s="27"/>
      <c r="M6" s="5"/>
      <c r="N6" s="5"/>
      <c r="O6" s="29"/>
      <c r="P6" s="29"/>
      <c r="Q6" s="29"/>
      <c r="U6" s="1"/>
      <c r="V6" s="1"/>
    </row>
    <row r="7" spans="1:22" ht="24" hidden="1" x14ac:dyDescent="0.2">
      <c r="A7" s="10">
        <v>45843</v>
      </c>
      <c r="B7" s="23" t="s">
        <v>20</v>
      </c>
      <c r="C7" s="9"/>
      <c r="D7" s="85" t="str">
        <f>Table33[[#This Row],[EVENTO 1 PRESC.]]&amp;" + "&amp;Table33[[#This Row],[EVENTO 2 PRESC.]]</f>
        <v xml:space="preserve"> + </v>
      </c>
      <c r="E7" s="85" t="str">
        <f>Table334[[#This Row],[EVENTO 1 PYP]]&amp;" + "&amp;Table334[[#This Row],[EVENTO 2 PYP]]</f>
        <v xml:space="preserve"> + </v>
      </c>
      <c r="F7" s="85" t="str">
        <f>Table3345[[#This Row],[EVENTO 1 MYP]]&amp;" + "&amp;Table3345[[#This Row],[EVENTO 2 MYP]]</f>
        <v xml:space="preserve"> + </v>
      </c>
      <c r="G7" s="85" t="str">
        <f>Table33456[[#This Row],[EVENTO 1 DP]]&amp;" + "&amp;Table33456[[#This Row],[EVENTO 2 DP]]</f>
        <v xml:space="preserve"> + </v>
      </c>
      <c r="H7" s="85"/>
      <c r="I7" s="88"/>
      <c r="J7" s="88"/>
      <c r="K7" s="20"/>
      <c r="L7" s="26"/>
      <c r="M7" s="8"/>
      <c r="N7" s="8"/>
      <c r="O7" s="29"/>
      <c r="P7" s="29"/>
      <c r="Q7" s="29"/>
      <c r="U7" s="1"/>
      <c r="V7" s="1"/>
    </row>
    <row r="8" spans="1:22" ht="24" hidden="1" x14ac:dyDescent="0.2">
      <c r="A8" s="10">
        <v>45844</v>
      </c>
      <c r="B8" s="23" t="s">
        <v>20</v>
      </c>
      <c r="C8" s="9"/>
      <c r="D8" s="85" t="str">
        <f>Table33[[#This Row],[EVENTO 1 PRESC.]]&amp;" + "&amp;Table33[[#This Row],[EVENTO 2 PRESC.]]</f>
        <v xml:space="preserve"> + </v>
      </c>
      <c r="E8" s="85" t="str">
        <f>Table334[[#This Row],[EVENTO 1 PYP]]&amp;" + "&amp;Table334[[#This Row],[EVENTO 2 PYP]]</f>
        <v xml:space="preserve"> + </v>
      </c>
      <c r="F8" s="85" t="str">
        <f>Table3345[[#This Row],[EVENTO 1 MYP]]&amp;" + "&amp;Table3345[[#This Row],[EVENTO 2 MYP]]</f>
        <v xml:space="preserve"> + </v>
      </c>
      <c r="G8" s="85" t="str">
        <f>Table33456[[#This Row],[EVENTO 1 DP]]&amp;" + "&amp;Table33456[[#This Row],[EVENTO 2 DP]]</f>
        <v xml:space="preserve"> + </v>
      </c>
      <c r="H8" s="85"/>
      <c r="I8" s="88"/>
      <c r="J8" s="88"/>
      <c r="K8" s="20"/>
      <c r="L8" s="26"/>
      <c r="M8" s="8"/>
      <c r="N8" s="8"/>
      <c r="O8" s="29"/>
      <c r="P8" s="29"/>
      <c r="Q8" s="29"/>
      <c r="U8" s="1"/>
      <c r="V8" s="1"/>
    </row>
    <row r="9" spans="1:22" ht="24" hidden="1" x14ac:dyDescent="0.2">
      <c r="A9" s="7">
        <v>45845</v>
      </c>
      <c r="B9" s="24" t="s">
        <v>18</v>
      </c>
      <c r="C9" s="53" t="s">
        <v>19</v>
      </c>
      <c r="D9" s="89" t="str">
        <f>Table33[[#This Row],[EVENTO 1 PRESC.]]&amp;" + "&amp;Table33[[#This Row],[EVENTO 2 PRESC.]]</f>
        <v xml:space="preserve"> + </v>
      </c>
      <c r="E9" s="89" t="str">
        <f>Table334[[#This Row],[EVENTO 1 PYP]]&amp;" + "&amp;Table334[[#This Row],[EVENTO 2 PYP]]</f>
        <v xml:space="preserve"> + </v>
      </c>
      <c r="F9" s="89" t="str">
        <f>Table3345[[#This Row],[EVENTO 1 MYP]]&amp;" + "&amp;Table3345[[#This Row],[EVENTO 2 MYP]]</f>
        <v xml:space="preserve"> + </v>
      </c>
      <c r="G9" s="89" t="str">
        <f>Table33456[[#This Row],[EVENTO 1 DP]]&amp;" + "&amp;Table33456[[#This Row],[EVENTO 2 DP]]</f>
        <v xml:space="preserve"> + </v>
      </c>
      <c r="H9" s="89"/>
      <c r="I9" s="90"/>
      <c r="J9" s="90"/>
      <c r="K9" s="21"/>
      <c r="L9" s="27"/>
      <c r="M9" s="5"/>
      <c r="N9" s="5"/>
      <c r="O9" s="29"/>
      <c r="P9" s="29"/>
      <c r="Q9" s="29"/>
      <c r="U9" s="1"/>
      <c r="V9" s="1"/>
    </row>
    <row r="10" spans="1:22" ht="24" hidden="1" x14ac:dyDescent="0.2">
      <c r="A10" s="7">
        <v>45846</v>
      </c>
      <c r="B10" s="24" t="s">
        <v>18</v>
      </c>
      <c r="C10" s="53" t="s">
        <v>19</v>
      </c>
      <c r="D10" s="89" t="str">
        <f>Table33[[#This Row],[EVENTO 1 PRESC.]]&amp;" + "&amp;Table33[[#This Row],[EVENTO 2 PRESC.]]</f>
        <v xml:space="preserve"> + </v>
      </c>
      <c r="E10" s="89" t="str">
        <f>Table334[[#This Row],[EVENTO 1 PYP]]&amp;" + "&amp;Table334[[#This Row],[EVENTO 2 PYP]]</f>
        <v xml:space="preserve"> + </v>
      </c>
      <c r="F10" s="89" t="str">
        <f>Table3345[[#This Row],[EVENTO 1 MYP]]&amp;" + "&amp;Table3345[[#This Row],[EVENTO 2 MYP]]</f>
        <v xml:space="preserve"> + </v>
      </c>
      <c r="G10" s="89" t="str">
        <f>Table33456[[#This Row],[EVENTO 1 DP]]&amp;" + "&amp;Table33456[[#This Row],[EVENTO 2 DP]]</f>
        <v xml:space="preserve"> + </v>
      </c>
      <c r="H10" s="89"/>
      <c r="I10" s="90"/>
      <c r="J10" s="90"/>
      <c r="K10" s="21"/>
      <c r="L10" s="27"/>
      <c r="M10" s="5"/>
      <c r="N10" s="5"/>
      <c r="O10" s="29"/>
      <c r="P10" s="29"/>
      <c r="Q10" s="29"/>
      <c r="U10" s="1"/>
      <c r="V10" s="1"/>
    </row>
    <row r="11" spans="1:22" ht="24" hidden="1" x14ac:dyDescent="0.2">
      <c r="A11" s="7">
        <v>45847</v>
      </c>
      <c r="B11" s="24" t="s">
        <v>18</v>
      </c>
      <c r="C11" s="53" t="s">
        <v>19</v>
      </c>
      <c r="D11" s="89" t="str">
        <f>Table33[[#This Row],[EVENTO 1 PRESC.]]&amp;" + "&amp;Table33[[#This Row],[EVENTO 2 PRESC.]]</f>
        <v xml:space="preserve"> + </v>
      </c>
      <c r="E11" s="89" t="str">
        <f>Table334[[#This Row],[EVENTO 1 PYP]]&amp;" + "&amp;Table334[[#This Row],[EVENTO 2 PYP]]</f>
        <v xml:space="preserve"> + </v>
      </c>
      <c r="F11" s="89" t="str">
        <f>Table3345[[#This Row],[EVENTO 1 MYP]]&amp;" + "&amp;Table3345[[#This Row],[EVENTO 2 MYP]]</f>
        <v xml:space="preserve"> + </v>
      </c>
      <c r="G11" s="89" t="str">
        <f>Table33456[[#This Row],[EVENTO 1 DP]]&amp;" + "&amp;Table33456[[#This Row],[EVENTO 2 DP]]</f>
        <v xml:space="preserve"> + </v>
      </c>
      <c r="H11" s="89"/>
      <c r="I11" s="90"/>
      <c r="J11" s="90"/>
      <c r="K11" s="21"/>
      <c r="L11" s="27"/>
      <c r="M11" s="5"/>
      <c r="N11" s="5"/>
      <c r="O11" s="29"/>
      <c r="P11" s="29"/>
      <c r="Q11" s="29"/>
      <c r="U11" s="1"/>
      <c r="V11" s="1"/>
    </row>
    <row r="12" spans="1:22" ht="24" hidden="1" x14ac:dyDescent="0.2">
      <c r="A12" s="7">
        <v>45848</v>
      </c>
      <c r="B12" s="24" t="s">
        <v>18</v>
      </c>
      <c r="C12" s="53" t="s">
        <v>19</v>
      </c>
      <c r="D12" s="89" t="str">
        <f>Table33[[#This Row],[EVENTO 1 PRESC.]]&amp;" + "&amp;Table33[[#This Row],[EVENTO 2 PRESC.]]</f>
        <v xml:space="preserve"> + </v>
      </c>
      <c r="E12" s="89" t="str">
        <f>Table334[[#This Row],[EVENTO 1 PYP]]&amp;" + "&amp;Table334[[#This Row],[EVENTO 2 PYP]]</f>
        <v xml:space="preserve"> + </v>
      </c>
      <c r="F12" s="89" t="str">
        <f>Table3345[[#This Row],[EVENTO 1 MYP]]&amp;" + "&amp;Table3345[[#This Row],[EVENTO 2 MYP]]</f>
        <v xml:space="preserve"> + </v>
      </c>
      <c r="G12" s="89" t="str">
        <f>Table33456[[#This Row],[EVENTO 1 DP]]&amp;" + "&amp;Table33456[[#This Row],[EVENTO 2 DP]]</f>
        <v xml:space="preserve"> + </v>
      </c>
      <c r="H12" s="89"/>
      <c r="I12" s="90"/>
      <c r="J12" s="90"/>
      <c r="K12" s="21"/>
      <c r="L12" s="27"/>
      <c r="M12" s="5"/>
      <c r="N12" s="5"/>
      <c r="O12" s="29"/>
      <c r="P12" s="29"/>
      <c r="Q12" s="29"/>
      <c r="U12" s="1"/>
      <c r="V12" s="1"/>
    </row>
    <row r="13" spans="1:22" ht="24" hidden="1" x14ac:dyDescent="0.2">
      <c r="A13" s="7">
        <v>45849</v>
      </c>
      <c r="B13" s="24" t="s">
        <v>18</v>
      </c>
      <c r="C13" s="53" t="s">
        <v>19</v>
      </c>
      <c r="D13" s="89" t="str">
        <f>Table33[[#This Row],[EVENTO 1 PRESC.]]&amp;" + "&amp;Table33[[#This Row],[EVENTO 2 PRESC.]]</f>
        <v xml:space="preserve"> + </v>
      </c>
      <c r="E13" s="89" t="str">
        <f>Table334[[#This Row],[EVENTO 1 PYP]]&amp;" + "&amp;Table334[[#This Row],[EVENTO 2 PYP]]</f>
        <v xml:space="preserve"> + </v>
      </c>
      <c r="F13" s="89" t="str">
        <f>Table3345[[#This Row],[EVENTO 1 MYP]]&amp;" + "&amp;Table3345[[#This Row],[EVENTO 2 MYP]]</f>
        <v xml:space="preserve"> + </v>
      </c>
      <c r="G13" s="89" t="str">
        <f>Table33456[[#This Row],[EVENTO 1 DP]]&amp;" + "&amp;Table33456[[#This Row],[EVENTO 2 DP]]</f>
        <v xml:space="preserve"> + </v>
      </c>
      <c r="H13" s="89"/>
      <c r="I13" s="90"/>
      <c r="J13" s="90"/>
      <c r="K13" s="21"/>
      <c r="L13" s="27"/>
      <c r="M13" s="5"/>
      <c r="N13" s="5"/>
      <c r="O13" s="29"/>
      <c r="P13" s="29"/>
      <c r="Q13" s="29"/>
      <c r="U13" s="1"/>
      <c r="V13" s="1"/>
    </row>
    <row r="14" spans="1:22" ht="24" hidden="1" x14ac:dyDescent="0.2">
      <c r="A14" s="10">
        <v>45850</v>
      </c>
      <c r="B14" s="23" t="s">
        <v>20</v>
      </c>
      <c r="C14" s="9"/>
      <c r="D14" s="85" t="str">
        <f>Table33[[#This Row],[EVENTO 1 PRESC.]]&amp;" + "&amp;Table33[[#This Row],[EVENTO 2 PRESC.]]</f>
        <v xml:space="preserve"> + </v>
      </c>
      <c r="E14" s="85" t="str">
        <f>Table334[[#This Row],[EVENTO 1 PYP]]&amp;" + "&amp;Table334[[#This Row],[EVENTO 2 PYP]]</f>
        <v xml:space="preserve"> + </v>
      </c>
      <c r="F14" s="85" t="str">
        <f>Table3345[[#This Row],[EVENTO 1 MYP]]&amp;" + "&amp;Table3345[[#This Row],[EVENTO 2 MYP]]</f>
        <v xml:space="preserve"> + </v>
      </c>
      <c r="G14" s="85" t="str">
        <f>Table33456[[#This Row],[EVENTO 1 DP]]&amp;" + "&amp;Table33456[[#This Row],[EVENTO 2 DP]]</f>
        <v xml:space="preserve"> + </v>
      </c>
      <c r="H14" s="85"/>
      <c r="I14" s="88"/>
      <c r="J14" s="88"/>
      <c r="K14" s="20"/>
      <c r="L14" s="26"/>
      <c r="M14" s="8"/>
      <c r="N14" s="8"/>
      <c r="O14" s="29"/>
      <c r="P14" s="29"/>
      <c r="Q14" s="29"/>
      <c r="U14" s="1"/>
      <c r="V14" s="1"/>
    </row>
    <row r="15" spans="1:22" ht="24" hidden="1" x14ac:dyDescent="0.2">
      <c r="A15" s="10">
        <v>45851</v>
      </c>
      <c r="B15" s="23" t="s">
        <v>20</v>
      </c>
      <c r="C15" s="9"/>
      <c r="D15" s="85" t="str">
        <f>Table33[[#This Row],[EVENTO 1 PRESC.]]&amp;" + "&amp;Table33[[#This Row],[EVENTO 2 PRESC.]]</f>
        <v xml:space="preserve"> + </v>
      </c>
      <c r="E15" s="85" t="str">
        <f>Table334[[#This Row],[EVENTO 1 PYP]]&amp;" + "&amp;Table334[[#This Row],[EVENTO 2 PYP]]</f>
        <v xml:space="preserve"> + </v>
      </c>
      <c r="F15" s="85" t="str">
        <f>Table3345[[#This Row],[EVENTO 1 MYP]]&amp;" + "&amp;Table3345[[#This Row],[EVENTO 2 MYP]]</f>
        <v xml:space="preserve"> + </v>
      </c>
      <c r="G15" s="85" t="str">
        <f>Table33456[[#This Row],[EVENTO 1 DP]]&amp;" + "&amp;Table33456[[#This Row],[EVENTO 2 DP]]</f>
        <v xml:space="preserve"> + </v>
      </c>
      <c r="H15" s="85"/>
      <c r="I15" s="88"/>
      <c r="J15" s="88"/>
      <c r="K15" s="20"/>
      <c r="L15" s="26"/>
      <c r="M15" s="8"/>
      <c r="N15" s="8"/>
      <c r="O15" s="29"/>
      <c r="P15" s="29"/>
      <c r="Q15" s="29"/>
      <c r="U15" s="1"/>
      <c r="V15" s="1"/>
    </row>
    <row r="16" spans="1:22" ht="24" hidden="1" x14ac:dyDescent="0.2">
      <c r="A16" s="7">
        <v>45852</v>
      </c>
      <c r="B16" s="24" t="s">
        <v>18</v>
      </c>
      <c r="C16" s="53" t="s">
        <v>19</v>
      </c>
      <c r="D16" s="89" t="str">
        <f>Table33[[#This Row],[EVENTO 1 PRESC.]]&amp;" + "&amp;Table33[[#This Row],[EVENTO 2 PRESC.]]</f>
        <v xml:space="preserve"> + </v>
      </c>
      <c r="E16" s="89" t="str">
        <f>Table334[[#This Row],[EVENTO 1 PYP]]&amp;" + "&amp;Table334[[#This Row],[EVENTO 2 PYP]]</f>
        <v xml:space="preserve"> + </v>
      </c>
      <c r="F16" s="89" t="str">
        <f>Table3345[[#This Row],[EVENTO 1 MYP]]&amp;" + "&amp;Table3345[[#This Row],[EVENTO 2 MYP]]</f>
        <v xml:space="preserve"> + </v>
      </c>
      <c r="G16" s="89" t="str">
        <f>Table33456[[#This Row],[EVENTO 1 DP]]&amp;" + "&amp;Table33456[[#This Row],[EVENTO 2 DP]]</f>
        <v xml:space="preserve"> + </v>
      </c>
      <c r="H16" s="89"/>
      <c r="I16" s="90"/>
      <c r="J16" s="90"/>
      <c r="K16" s="21"/>
      <c r="L16" s="27"/>
      <c r="M16" s="5"/>
      <c r="N16" s="5"/>
      <c r="O16" s="29"/>
      <c r="P16" s="29"/>
      <c r="Q16" s="29"/>
      <c r="U16" s="1"/>
      <c r="V16" s="1"/>
    </row>
    <row r="17" spans="1:22" ht="24" hidden="1" x14ac:dyDescent="0.2">
      <c r="A17" s="7">
        <v>45853</v>
      </c>
      <c r="B17" s="24" t="s">
        <v>18</v>
      </c>
      <c r="C17" s="53" t="s">
        <v>19</v>
      </c>
      <c r="D17" s="89" t="str">
        <f>Table33[[#This Row],[EVENTO 1 PRESC.]]&amp;" + "&amp;Table33[[#This Row],[EVENTO 2 PRESC.]]</f>
        <v xml:space="preserve"> + </v>
      </c>
      <c r="E17" s="89" t="str">
        <f>Table334[[#This Row],[EVENTO 1 PYP]]&amp;" + "&amp;Table334[[#This Row],[EVENTO 2 PYP]]</f>
        <v xml:space="preserve"> + </v>
      </c>
      <c r="F17" s="89" t="str">
        <f>Table3345[[#This Row],[EVENTO 1 MYP]]&amp;" + "&amp;Table3345[[#This Row],[EVENTO 2 MYP]]</f>
        <v xml:space="preserve"> + </v>
      </c>
      <c r="G17" s="89" t="str">
        <f>Table33456[[#This Row],[EVENTO 1 DP]]&amp;" + "&amp;Table33456[[#This Row],[EVENTO 2 DP]]</f>
        <v xml:space="preserve"> + </v>
      </c>
      <c r="H17" s="89"/>
      <c r="I17" s="90"/>
      <c r="J17" s="90"/>
      <c r="K17" s="21"/>
      <c r="L17" s="27"/>
      <c r="M17" s="5"/>
      <c r="N17" s="5"/>
      <c r="O17" s="29"/>
      <c r="P17" s="29"/>
      <c r="Q17" s="29"/>
      <c r="U17" s="1"/>
      <c r="V17" s="1"/>
    </row>
    <row r="18" spans="1:22" ht="24" hidden="1" x14ac:dyDescent="0.2">
      <c r="A18" s="7">
        <v>45854</v>
      </c>
      <c r="B18" s="24" t="s">
        <v>18</v>
      </c>
      <c r="C18" s="53" t="s">
        <v>19</v>
      </c>
      <c r="D18" s="89" t="str">
        <f>Table33[[#This Row],[EVENTO 1 PRESC.]]&amp;" + "&amp;Table33[[#This Row],[EVENTO 2 PRESC.]]</f>
        <v xml:space="preserve"> + </v>
      </c>
      <c r="E18" s="89" t="str">
        <f>Table334[[#This Row],[EVENTO 1 PYP]]&amp;" + "&amp;Table334[[#This Row],[EVENTO 2 PYP]]</f>
        <v xml:space="preserve"> + </v>
      </c>
      <c r="F18" s="89" t="str">
        <f>Table3345[[#This Row],[EVENTO 1 MYP]]&amp;" + "&amp;Table3345[[#This Row],[EVENTO 2 MYP]]</f>
        <v xml:space="preserve"> + </v>
      </c>
      <c r="G18" s="89" t="str">
        <f>Table33456[[#This Row],[EVENTO 1 DP]]&amp;" + "&amp;Table33456[[#This Row],[EVENTO 2 DP]]</f>
        <v xml:space="preserve"> + </v>
      </c>
      <c r="H18" s="89"/>
      <c r="I18" s="90"/>
      <c r="J18" s="90"/>
      <c r="K18" s="21"/>
      <c r="L18" s="27"/>
      <c r="M18" s="5"/>
      <c r="N18" s="5"/>
      <c r="O18" s="29"/>
      <c r="P18" s="29"/>
      <c r="Q18" s="29"/>
      <c r="U18" s="1"/>
      <c r="V18" s="1"/>
    </row>
    <row r="19" spans="1:22" ht="24" hidden="1" x14ac:dyDescent="0.2">
      <c r="A19" s="7">
        <v>45855</v>
      </c>
      <c r="B19" s="24" t="s">
        <v>18</v>
      </c>
      <c r="C19" s="53" t="s">
        <v>19</v>
      </c>
      <c r="D19" s="89" t="str">
        <f>Table33[[#This Row],[EVENTO 1 PRESC.]]&amp;" + "&amp;Table33[[#This Row],[EVENTO 2 PRESC.]]</f>
        <v xml:space="preserve"> + </v>
      </c>
      <c r="E19" s="89" t="str">
        <f>Table334[[#This Row],[EVENTO 1 PYP]]&amp;" + "&amp;Table334[[#This Row],[EVENTO 2 PYP]]</f>
        <v xml:space="preserve"> + </v>
      </c>
      <c r="F19" s="89" t="str">
        <f>Table3345[[#This Row],[EVENTO 1 MYP]]&amp;" + "&amp;Table3345[[#This Row],[EVENTO 2 MYP]]</f>
        <v xml:space="preserve"> + </v>
      </c>
      <c r="G19" s="89" t="str">
        <f>Table33456[[#This Row],[EVENTO 1 DP]]&amp;" + "&amp;Table33456[[#This Row],[EVENTO 2 DP]]</f>
        <v xml:space="preserve"> + </v>
      </c>
      <c r="H19" s="89"/>
      <c r="I19" s="90"/>
      <c r="J19" s="90"/>
      <c r="K19" s="21"/>
      <c r="L19" s="27"/>
      <c r="M19" s="5"/>
      <c r="N19" s="5"/>
      <c r="O19" s="29"/>
      <c r="P19" s="29"/>
      <c r="Q19" s="29"/>
      <c r="U19" s="1"/>
      <c r="V19" s="1"/>
    </row>
    <row r="20" spans="1:22" ht="24" hidden="1" x14ac:dyDescent="0.2">
      <c r="A20" s="7">
        <v>45856</v>
      </c>
      <c r="B20" s="24" t="s">
        <v>18</v>
      </c>
      <c r="C20" s="53" t="s">
        <v>19</v>
      </c>
      <c r="D20" s="89" t="str">
        <f>Table33[[#This Row],[EVENTO 1 PRESC.]]&amp;" + "&amp;Table33[[#This Row],[EVENTO 2 PRESC.]]</f>
        <v xml:space="preserve"> + </v>
      </c>
      <c r="E20" s="89" t="str">
        <f>Table334[[#This Row],[EVENTO 1 PYP]]&amp;" + "&amp;Table334[[#This Row],[EVENTO 2 PYP]]</f>
        <v xml:space="preserve"> + </v>
      </c>
      <c r="F20" s="89" t="str">
        <f>Table3345[[#This Row],[EVENTO 1 MYP]]&amp;" + "&amp;Table3345[[#This Row],[EVENTO 2 MYP]]</f>
        <v xml:space="preserve"> + </v>
      </c>
      <c r="G20" s="89" t="str">
        <f>Table33456[[#This Row],[EVENTO 1 DP]]&amp;" + "&amp;Table33456[[#This Row],[EVENTO 2 DP]]</f>
        <v xml:space="preserve"> + </v>
      </c>
      <c r="H20" s="89"/>
      <c r="I20" s="90"/>
      <c r="J20" s="90"/>
      <c r="K20" s="21"/>
      <c r="L20" s="27"/>
      <c r="M20" s="5"/>
      <c r="N20" s="5"/>
      <c r="O20" s="29"/>
      <c r="P20" s="29"/>
      <c r="Q20" s="29"/>
      <c r="U20" s="1"/>
      <c r="V20" s="1"/>
    </row>
    <row r="21" spans="1:22" ht="24" hidden="1" x14ac:dyDescent="0.2">
      <c r="A21" s="10">
        <v>45857</v>
      </c>
      <c r="B21" s="23" t="s">
        <v>20</v>
      </c>
      <c r="C21" s="9"/>
      <c r="D21" s="85" t="str">
        <f>Table33[[#This Row],[EVENTO 1 PRESC.]]&amp;" + "&amp;Table33[[#This Row],[EVENTO 2 PRESC.]]</f>
        <v xml:space="preserve"> + </v>
      </c>
      <c r="E21" s="85" t="str">
        <f>Table334[[#This Row],[EVENTO 1 PYP]]&amp;" + "&amp;Table334[[#This Row],[EVENTO 2 PYP]]</f>
        <v xml:space="preserve"> + </v>
      </c>
      <c r="F21" s="85" t="str">
        <f>Table3345[[#This Row],[EVENTO 1 MYP]]&amp;" + "&amp;Table3345[[#This Row],[EVENTO 2 MYP]]</f>
        <v xml:space="preserve"> + </v>
      </c>
      <c r="G21" s="85" t="str">
        <f>Table33456[[#This Row],[EVENTO 1 DP]]&amp;" + "&amp;Table33456[[#This Row],[EVENTO 2 DP]]</f>
        <v xml:space="preserve"> + </v>
      </c>
      <c r="H21" s="85"/>
      <c r="I21" s="88"/>
      <c r="J21" s="88"/>
      <c r="K21" s="20"/>
      <c r="L21" s="26"/>
      <c r="M21" s="8"/>
      <c r="N21" s="8"/>
      <c r="O21" s="29"/>
      <c r="P21" s="29"/>
      <c r="Q21" s="29"/>
      <c r="U21" s="1"/>
      <c r="V21" s="1"/>
    </row>
    <row r="22" spans="1:22" ht="24" hidden="1" x14ac:dyDescent="0.2">
      <c r="A22" s="10">
        <v>45858</v>
      </c>
      <c r="B22" s="23" t="s">
        <v>17</v>
      </c>
      <c r="C22" s="9"/>
      <c r="D22" s="85" t="str">
        <f>Table33[[#This Row],[EVENTO 1 PRESC.]]&amp;" + "&amp;Table33[[#This Row],[EVENTO 2 PRESC.]]</f>
        <v xml:space="preserve"> + </v>
      </c>
      <c r="E22" s="85" t="str">
        <f>Table334[[#This Row],[EVENTO 1 PYP]]&amp;" + "&amp;Table334[[#This Row],[EVENTO 2 PYP]]</f>
        <v xml:space="preserve"> + </v>
      </c>
      <c r="F22" s="85" t="str">
        <f>Table3345[[#This Row],[EVENTO 1 MYP]]&amp;" + "&amp;Table3345[[#This Row],[EVENTO 2 MYP]]</f>
        <v xml:space="preserve"> + </v>
      </c>
      <c r="G22" s="85" t="str">
        <f>Table33456[[#This Row],[EVENTO 1 DP]]&amp;" + "&amp;Table33456[[#This Row],[EVENTO 2 DP]]</f>
        <v xml:space="preserve"> + </v>
      </c>
      <c r="H22" s="85"/>
      <c r="I22" s="88"/>
      <c r="J22" s="88"/>
      <c r="K22" s="20"/>
      <c r="L22" s="26"/>
      <c r="M22" s="8"/>
      <c r="N22" s="8"/>
      <c r="O22" s="29"/>
      <c r="P22" s="29"/>
      <c r="Q22" s="29"/>
      <c r="U22" s="1"/>
      <c r="V22" s="1"/>
    </row>
    <row r="23" spans="1:22" ht="24" hidden="1" x14ac:dyDescent="0.2">
      <c r="A23" s="7">
        <v>45859</v>
      </c>
      <c r="B23" s="24" t="s">
        <v>21</v>
      </c>
      <c r="C23" s="6" t="s">
        <v>22</v>
      </c>
      <c r="D23" s="91" t="str">
        <f>Table33[[#This Row],[EVENTO 1 PRESC.]]&amp;" + "&amp;Table33[[#This Row],[EVENTO 2 PRESC.]]</f>
        <v xml:space="preserve"> + </v>
      </c>
      <c r="E23" s="91" t="str">
        <f>Table334[[#This Row],[EVENTO 1 PYP]]&amp;" + "&amp;Table334[[#This Row],[EVENTO 2 PYP]]</f>
        <v xml:space="preserve"> + </v>
      </c>
      <c r="F23" s="91" t="str">
        <f>Table3345[[#This Row],[EVENTO 1 MYP]]&amp;" + "&amp;Table3345[[#This Row],[EVENTO 2 MYP]]</f>
        <v xml:space="preserve"> + </v>
      </c>
      <c r="G23" s="91" t="str">
        <f>Table33456[[#This Row],[EVENTO 1 DP]]&amp;" + "&amp;Table33456[[#This Row],[EVENTO 2 DP]]</f>
        <v xml:space="preserve"> + </v>
      </c>
      <c r="H23" s="91"/>
      <c r="I23" s="92"/>
      <c r="J23" s="92"/>
      <c r="K23" s="21"/>
      <c r="L23" s="27"/>
      <c r="M23" s="5"/>
      <c r="N23" s="5"/>
      <c r="O23" s="29"/>
      <c r="P23" s="29"/>
      <c r="Q23" s="29"/>
      <c r="U23" s="1"/>
      <c r="V23" s="1"/>
    </row>
    <row r="24" spans="1:22" ht="24" hidden="1" x14ac:dyDescent="0.2">
      <c r="A24" s="7">
        <v>45860</v>
      </c>
      <c r="B24" s="24" t="s">
        <v>21</v>
      </c>
      <c r="C24" s="6"/>
      <c r="D24" s="91" t="str">
        <f>Table33[[#This Row],[EVENTO 1 PRESC.]]&amp;" + "&amp;Table33[[#This Row],[EVENTO 2 PRESC.]]</f>
        <v xml:space="preserve"> + </v>
      </c>
      <c r="E24" s="91" t="str">
        <f>Table334[[#This Row],[EVENTO 1 PYP]]&amp;" + "&amp;Table334[[#This Row],[EVENTO 2 PYP]]</f>
        <v xml:space="preserve"> + </v>
      </c>
      <c r="F24" s="91" t="str">
        <f>Table3345[[#This Row],[EVENTO 1 MYP]]&amp;" + "&amp;Table3345[[#This Row],[EVENTO 2 MYP]]</f>
        <v xml:space="preserve"> + </v>
      </c>
      <c r="G24" s="91" t="str">
        <f>Table33456[[#This Row],[EVENTO 1 DP]]&amp;" + "&amp;Table33456[[#This Row],[EVENTO 2 DP]]</f>
        <v xml:space="preserve"> + </v>
      </c>
      <c r="H24" s="91"/>
      <c r="I24" s="92"/>
      <c r="J24" s="92"/>
      <c r="K24" s="21"/>
      <c r="L24" s="27"/>
      <c r="M24" s="5"/>
      <c r="N24" s="5"/>
      <c r="O24" s="29"/>
      <c r="P24" s="29"/>
      <c r="Q24" s="29"/>
      <c r="U24" s="1"/>
      <c r="V24" s="1"/>
    </row>
    <row r="25" spans="1:22" ht="24" hidden="1" x14ac:dyDescent="0.2">
      <c r="A25" s="7">
        <v>45861</v>
      </c>
      <c r="B25" s="24" t="s">
        <v>21</v>
      </c>
      <c r="C25" s="6"/>
      <c r="D25" s="91" t="str">
        <f>Table33[[#This Row],[EVENTO 1 PRESC.]]&amp;" + "&amp;Table33[[#This Row],[EVENTO 2 PRESC.]]</f>
        <v xml:space="preserve"> + </v>
      </c>
      <c r="E25" s="91" t="str">
        <f>Table334[[#This Row],[EVENTO 1 PYP]]&amp;" + "&amp;Table334[[#This Row],[EVENTO 2 PYP]]</f>
        <v xml:space="preserve"> + </v>
      </c>
      <c r="F25" s="91" t="str">
        <f>Table3345[[#This Row],[EVENTO 1 MYP]]&amp;" + "&amp;Table3345[[#This Row],[EVENTO 2 MYP]]</f>
        <v xml:space="preserve"> + </v>
      </c>
      <c r="G25" s="91" t="str">
        <f>Table33456[[#This Row],[EVENTO 1 DP]]&amp;" + "&amp;Table33456[[#This Row],[EVENTO 2 DP]]</f>
        <v xml:space="preserve"> + </v>
      </c>
      <c r="H25" s="91"/>
      <c r="I25" s="92"/>
      <c r="J25" s="92"/>
      <c r="K25" s="21"/>
      <c r="L25" s="27"/>
      <c r="M25" s="5"/>
      <c r="N25" s="5"/>
      <c r="O25" s="29"/>
      <c r="P25" s="29"/>
      <c r="Q25" s="29"/>
      <c r="U25" s="1"/>
      <c r="V25" s="1"/>
    </row>
    <row r="26" spans="1:22" ht="24" hidden="1" x14ac:dyDescent="0.2">
      <c r="A26" s="7">
        <v>45862</v>
      </c>
      <c r="B26" s="24" t="s">
        <v>21</v>
      </c>
      <c r="C26" s="6"/>
      <c r="D26" s="91" t="str">
        <f>Table33[[#This Row],[EVENTO 1 PRESC.]]&amp;" + "&amp;Table33[[#This Row],[EVENTO 2 PRESC.]]</f>
        <v xml:space="preserve"> + </v>
      </c>
      <c r="E26" s="91" t="str">
        <f>Table334[[#This Row],[EVENTO 1 PYP]]&amp;" + "&amp;Table334[[#This Row],[EVENTO 2 PYP]]</f>
        <v xml:space="preserve"> + </v>
      </c>
      <c r="F26" s="91" t="str">
        <f>Table3345[[#This Row],[EVENTO 1 MYP]]&amp;" + "&amp;Table3345[[#This Row],[EVENTO 2 MYP]]</f>
        <v xml:space="preserve"> + </v>
      </c>
      <c r="G26" s="91" t="str">
        <f>Table33456[[#This Row],[EVENTO 1 DP]]&amp;" + "&amp;Table33456[[#This Row],[EVENTO 2 DP]]</f>
        <v xml:space="preserve"> + </v>
      </c>
      <c r="H26" s="91"/>
      <c r="I26" s="92"/>
      <c r="J26" s="92"/>
      <c r="K26" s="21"/>
      <c r="L26" s="27"/>
      <c r="M26" s="5"/>
      <c r="N26" s="5"/>
      <c r="O26" s="29"/>
      <c r="P26" s="29"/>
      <c r="Q26" s="29"/>
      <c r="U26" s="1"/>
      <c r="V26" s="1"/>
    </row>
    <row r="27" spans="1:22" ht="24" hidden="1" x14ac:dyDescent="0.2">
      <c r="A27" s="7">
        <v>45863</v>
      </c>
      <c r="B27" s="24" t="s">
        <v>21</v>
      </c>
      <c r="C27" s="6"/>
      <c r="D27" s="91" t="str">
        <f>Table33[[#This Row],[EVENTO 1 PRESC.]]&amp;" + "&amp;Table33[[#This Row],[EVENTO 2 PRESC.]]</f>
        <v xml:space="preserve"> + </v>
      </c>
      <c r="E27" s="91" t="str">
        <f>Table334[[#This Row],[EVENTO 1 PYP]]&amp;" + "&amp;Table334[[#This Row],[EVENTO 2 PYP]]</f>
        <v xml:space="preserve"> + </v>
      </c>
      <c r="F27" s="91" t="str">
        <f>Table3345[[#This Row],[EVENTO 1 MYP]]&amp;" + "&amp;Table3345[[#This Row],[EVENTO 2 MYP]]</f>
        <v xml:space="preserve"> + </v>
      </c>
      <c r="G27" s="91" t="str">
        <f>Table33456[[#This Row],[EVENTO 1 DP]]&amp;" + "&amp;Table33456[[#This Row],[EVENTO 2 DP]]</f>
        <v xml:space="preserve"> + </v>
      </c>
      <c r="H27" s="91"/>
      <c r="I27" s="92"/>
      <c r="J27" s="92"/>
      <c r="K27" s="21"/>
      <c r="L27" s="27"/>
      <c r="M27" s="5"/>
      <c r="N27" s="5"/>
      <c r="O27" s="29"/>
      <c r="P27" s="29"/>
      <c r="Q27" s="29"/>
      <c r="U27" s="1"/>
      <c r="V27" s="1"/>
    </row>
    <row r="28" spans="1:22" ht="24" hidden="1" x14ac:dyDescent="0.2">
      <c r="A28" s="10">
        <v>45864</v>
      </c>
      <c r="B28" s="23" t="s">
        <v>20</v>
      </c>
      <c r="C28" s="9"/>
      <c r="D28" s="85" t="str">
        <f>Table33[[#This Row],[EVENTO 1 PRESC.]]&amp;" + "&amp;Table33[[#This Row],[EVENTO 2 PRESC.]]</f>
        <v xml:space="preserve"> + </v>
      </c>
      <c r="E28" s="85" t="str">
        <f>Table334[[#This Row],[EVENTO 1 PYP]]&amp;" + "&amp;Table334[[#This Row],[EVENTO 2 PYP]]</f>
        <v xml:space="preserve"> + </v>
      </c>
      <c r="F28" s="85" t="str">
        <f>Table3345[[#This Row],[EVENTO 1 MYP]]&amp;" + "&amp;Table3345[[#This Row],[EVENTO 2 MYP]]</f>
        <v xml:space="preserve"> + </v>
      </c>
      <c r="G28" s="85" t="str">
        <f>Table33456[[#This Row],[EVENTO 1 DP]]&amp;" + "&amp;Table33456[[#This Row],[EVENTO 2 DP]]</f>
        <v xml:space="preserve"> + </v>
      </c>
      <c r="H28" s="85"/>
      <c r="I28" s="88"/>
      <c r="J28" s="88"/>
      <c r="K28" s="20"/>
      <c r="L28" s="26"/>
      <c r="M28" s="8"/>
      <c r="N28" s="8"/>
      <c r="O28" s="29"/>
      <c r="P28" s="29"/>
      <c r="Q28" s="29"/>
      <c r="U28" s="1"/>
      <c r="V28" s="1"/>
    </row>
    <row r="29" spans="1:22" ht="24" hidden="1" x14ac:dyDescent="0.2">
      <c r="A29" s="10">
        <v>45865</v>
      </c>
      <c r="B29" s="23" t="s">
        <v>20</v>
      </c>
      <c r="C29" s="9"/>
      <c r="D29" s="85" t="str">
        <f>Table33[[#This Row],[EVENTO 1 PRESC.]]&amp;" + "&amp;Table33[[#This Row],[EVENTO 2 PRESC.]]</f>
        <v xml:space="preserve"> + </v>
      </c>
      <c r="E29" s="85" t="str">
        <f>Table334[[#This Row],[EVENTO 1 PYP]]&amp;" + "&amp;Table334[[#This Row],[EVENTO 2 PYP]]</f>
        <v xml:space="preserve"> + </v>
      </c>
      <c r="F29" s="85" t="str">
        <f>Table3345[[#This Row],[EVENTO 1 MYP]]&amp;" + "&amp;Table3345[[#This Row],[EVENTO 2 MYP]]</f>
        <v xml:space="preserve"> + </v>
      </c>
      <c r="G29" s="85" t="str">
        <f>Table33456[[#This Row],[EVENTO 1 DP]]&amp;" + "&amp;Table33456[[#This Row],[EVENTO 2 DP]]</f>
        <v xml:space="preserve"> + </v>
      </c>
      <c r="H29" s="85"/>
      <c r="I29" s="88"/>
      <c r="J29" s="88"/>
      <c r="K29" s="20"/>
      <c r="L29" s="26"/>
      <c r="M29" s="8"/>
      <c r="N29" s="8"/>
      <c r="O29" s="29"/>
      <c r="P29" s="29"/>
      <c r="Q29" s="29"/>
      <c r="U29" s="1"/>
      <c r="V29" s="1"/>
    </row>
    <row r="30" spans="1:22" ht="24" hidden="1" x14ac:dyDescent="0.2">
      <c r="A30" s="7">
        <v>45866</v>
      </c>
      <c r="B30" s="24" t="s">
        <v>23</v>
      </c>
      <c r="C30" s="6" t="s">
        <v>24</v>
      </c>
      <c r="D30" s="91" t="str">
        <f>Table33[[#This Row],[EVENTO 1 PRESC.]]&amp;" + "&amp;Table33[[#This Row],[EVENTO 2 PRESC.]]</f>
        <v xml:space="preserve"> + </v>
      </c>
      <c r="E30" s="91" t="str">
        <f>Table334[[#This Row],[EVENTO 1 PYP]]&amp;" + "&amp;Table334[[#This Row],[EVENTO 2 PYP]]</f>
        <v xml:space="preserve"> + </v>
      </c>
      <c r="F30" s="91" t="str">
        <f>Table3345[[#This Row],[EVENTO 1 MYP]]&amp;" + "&amp;Table3345[[#This Row],[EVENTO 2 MYP]]</f>
        <v xml:space="preserve"> + </v>
      </c>
      <c r="G30" s="91" t="str">
        <f>Table33456[[#This Row],[EVENTO 1 DP]]&amp;" + "&amp;Table33456[[#This Row],[EVENTO 2 DP]]</f>
        <v xml:space="preserve"> + </v>
      </c>
      <c r="H30" s="91"/>
      <c r="I30" s="92"/>
      <c r="J30" s="92"/>
      <c r="K30" s="21"/>
      <c r="L30" s="27"/>
      <c r="M30" s="5"/>
      <c r="N30" s="5"/>
      <c r="O30" s="29"/>
      <c r="P30" s="29"/>
      <c r="Q30" s="29"/>
      <c r="U30" s="1"/>
      <c r="V30" s="1"/>
    </row>
    <row r="31" spans="1:22" ht="24" hidden="1" x14ac:dyDescent="0.2">
      <c r="A31" s="7">
        <v>45867</v>
      </c>
      <c r="B31" s="24" t="s">
        <v>23</v>
      </c>
      <c r="C31" s="53"/>
      <c r="D31" s="89" t="str">
        <f>Table33[[#This Row],[EVENTO 1 PRESC.]]&amp;" + "&amp;Table33[[#This Row],[EVENTO 2 PRESC.]]</f>
        <v xml:space="preserve"> + </v>
      </c>
      <c r="E31" s="89" t="str">
        <f>Table334[[#This Row],[EVENTO 1 PYP]]&amp;" + "&amp;Table334[[#This Row],[EVENTO 2 PYP]]</f>
        <v xml:space="preserve"> + </v>
      </c>
      <c r="F31" s="89" t="str">
        <f>Table3345[[#This Row],[EVENTO 1 MYP]]&amp;" + "&amp;Table3345[[#This Row],[EVENTO 2 MYP]]</f>
        <v xml:space="preserve"> + </v>
      </c>
      <c r="G31" s="89" t="str">
        <f>Table33456[[#This Row],[EVENTO 1 DP]]&amp;" + "&amp;Table33456[[#This Row],[EVENTO 2 DP]]</f>
        <v xml:space="preserve"> + </v>
      </c>
      <c r="H31" s="89"/>
      <c r="I31" s="90"/>
      <c r="J31" s="90"/>
      <c r="K31" s="21"/>
      <c r="L31" s="27"/>
      <c r="M31" s="5"/>
      <c r="N31" s="5"/>
      <c r="O31" s="29"/>
      <c r="P31" s="29"/>
      <c r="Q31" s="29"/>
      <c r="U31" s="1"/>
      <c r="V31" s="1"/>
    </row>
    <row r="32" spans="1:22" ht="24" hidden="1" x14ac:dyDescent="0.2">
      <c r="A32" s="7">
        <v>45868</v>
      </c>
      <c r="B32" s="24" t="s">
        <v>23</v>
      </c>
      <c r="C32" s="6" t="s">
        <v>25</v>
      </c>
      <c r="D32" s="91" t="str">
        <f>Table33[[#This Row],[EVENTO 1 PRESC.]]&amp;" + "&amp;Table33[[#This Row],[EVENTO 2 PRESC.]]</f>
        <v xml:space="preserve"> + </v>
      </c>
      <c r="E32" s="91" t="str">
        <f>Table334[[#This Row],[EVENTO 1 PYP]]&amp;" + "&amp;Table334[[#This Row],[EVENTO 2 PYP]]</f>
        <v xml:space="preserve"> + </v>
      </c>
      <c r="F32" s="91" t="str">
        <f>Table3345[[#This Row],[EVENTO 1 MYP]]&amp;" + "&amp;Table3345[[#This Row],[EVENTO 2 MYP]]</f>
        <v xml:space="preserve"> + </v>
      </c>
      <c r="G32" s="91" t="str">
        <f>Table33456[[#This Row],[EVENTO 1 DP]]&amp;" + "&amp;Table33456[[#This Row],[EVENTO 2 DP]]</f>
        <v xml:space="preserve"> + </v>
      </c>
      <c r="H32" s="91"/>
      <c r="I32" s="92"/>
      <c r="J32" s="92"/>
      <c r="K32" s="21"/>
      <c r="L32" s="27"/>
      <c r="M32" s="5"/>
      <c r="N32" s="5"/>
      <c r="O32" s="29"/>
      <c r="P32" s="29"/>
      <c r="Q32" s="29"/>
      <c r="V32" s="1"/>
    </row>
    <row r="33" spans="1:22" ht="24" hidden="1" x14ac:dyDescent="0.2">
      <c r="A33" s="7">
        <v>45869</v>
      </c>
      <c r="B33" s="24" t="s">
        <v>23</v>
      </c>
      <c r="C33" s="53"/>
      <c r="D33" s="89" t="str">
        <f>Table33[[#This Row],[EVENTO 1 PRESC.]]&amp;" + "&amp;Table33[[#This Row],[EVENTO 2 PRESC.]]</f>
        <v xml:space="preserve"> + </v>
      </c>
      <c r="E33" s="89" t="str">
        <f>Table334[[#This Row],[EVENTO 1 PYP]]&amp;" + "&amp;Table334[[#This Row],[EVENTO 2 PYP]]</f>
        <v xml:space="preserve"> + </v>
      </c>
      <c r="F33" s="89" t="str">
        <f>Table3345[[#This Row],[EVENTO 1 MYP]]&amp;" + "&amp;Table3345[[#This Row],[EVENTO 2 MYP]]</f>
        <v xml:space="preserve"> + </v>
      </c>
      <c r="G33" s="89" t="str">
        <f>Table33456[[#This Row],[EVENTO 1 DP]]&amp;" + "&amp;Table33456[[#This Row],[EVENTO 2 DP]]</f>
        <v xml:space="preserve"> + </v>
      </c>
      <c r="H33" s="89"/>
      <c r="I33" s="90"/>
      <c r="J33" s="90"/>
      <c r="K33" s="21"/>
      <c r="L33" s="27"/>
      <c r="M33" s="5"/>
      <c r="N33" s="5"/>
      <c r="O33" s="29" t="s">
        <v>22</v>
      </c>
      <c r="P33" s="29" t="s">
        <v>26</v>
      </c>
      <c r="Q33" s="29"/>
      <c r="V33" s="1"/>
    </row>
    <row r="34" spans="1:22" ht="24" hidden="1" x14ac:dyDescent="0.2">
      <c r="A34" s="7">
        <v>45870</v>
      </c>
      <c r="B34" s="24" t="s">
        <v>23</v>
      </c>
      <c r="C34" s="6" t="s">
        <v>27</v>
      </c>
      <c r="D34" s="91" t="str">
        <f>Table33[[#This Row],[EVENTO 1 PRESC.]]&amp;" + "&amp;Table33[[#This Row],[EVENTO 2 PRESC.]]</f>
        <v xml:space="preserve"> + </v>
      </c>
      <c r="E34" s="91" t="str">
        <f>Table334[[#This Row],[EVENTO 1 PYP]]&amp;" + "&amp;Table334[[#This Row],[EVENTO 2 PYP]]</f>
        <v xml:space="preserve"> + </v>
      </c>
      <c r="F34" s="91" t="str">
        <f>Table3345[[#This Row],[EVENTO 1 MYP]]&amp;" + "&amp;Table3345[[#This Row],[EVENTO 2 MYP]]</f>
        <v xml:space="preserve"> + </v>
      </c>
      <c r="G34" s="91" t="str">
        <f>Table33456[[#This Row],[EVENTO 1 DP]]&amp;" + "&amp;Table33456[[#This Row],[EVENTO 2 DP]]</f>
        <v xml:space="preserve"> + </v>
      </c>
      <c r="H34" s="91"/>
      <c r="I34" s="92"/>
      <c r="J34" s="92"/>
      <c r="K34" s="21"/>
      <c r="L34" s="27"/>
      <c r="M34" s="5"/>
      <c r="N34" s="5"/>
      <c r="O34" s="29" t="s">
        <v>28</v>
      </c>
      <c r="P34" s="29"/>
      <c r="Q34" s="29"/>
      <c r="V34" s="1"/>
    </row>
    <row r="35" spans="1:22" ht="24" hidden="1" x14ac:dyDescent="0.2">
      <c r="A35" s="10">
        <v>45871</v>
      </c>
      <c r="B35" s="23" t="s">
        <v>20</v>
      </c>
      <c r="C35" s="9"/>
      <c r="D35" s="85" t="str">
        <f>Table33[[#This Row],[EVENTO 1 PRESC.]]&amp;" + "&amp;Table33[[#This Row],[EVENTO 2 PRESC.]]</f>
        <v xml:space="preserve"> + </v>
      </c>
      <c r="E35" s="85" t="str">
        <f>Table334[[#This Row],[EVENTO 1 PYP]]&amp;" + "&amp;Table334[[#This Row],[EVENTO 2 PYP]]</f>
        <v xml:space="preserve"> + </v>
      </c>
      <c r="F35" s="85" t="str">
        <f>Table3345[[#This Row],[EVENTO 1 MYP]]&amp;" + "&amp;Table3345[[#This Row],[EVENTO 2 MYP]]</f>
        <v xml:space="preserve"> + </v>
      </c>
      <c r="G35" s="85" t="str">
        <f>Table33456[[#This Row],[EVENTO 1 DP]]&amp;" + "&amp;Table33456[[#This Row],[EVENTO 2 DP]]</f>
        <v xml:space="preserve"> + </v>
      </c>
      <c r="H35" s="85"/>
      <c r="I35" s="88"/>
      <c r="J35" s="88"/>
      <c r="K35" s="20"/>
      <c r="L35" s="26"/>
      <c r="M35" s="8"/>
      <c r="N35" s="8"/>
      <c r="O35" s="29"/>
      <c r="P35" s="29"/>
      <c r="Q35" s="29"/>
      <c r="V35" s="1"/>
    </row>
    <row r="36" spans="1:22" ht="24" hidden="1" x14ac:dyDescent="0.2">
      <c r="A36" s="10">
        <v>45872</v>
      </c>
      <c r="B36" s="23" t="s">
        <v>29</v>
      </c>
      <c r="C36" s="9"/>
      <c r="D36" s="85" t="str">
        <f>Table33[[#This Row],[EVENTO 1 PRESC.]]&amp;" + "&amp;Table33[[#This Row],[EVENTO 2 PRESC.]]</f>
        <v xml:space="preserve"> + </v>
      </c>
      <c r="E36" s="85" t="str">
        <f>Table334[[#This Row],[EVENTO 1 PYP]]&amp;" + "&amp;Table334[[#This Row],[EVENTO 2 PYP]]</f>
        <v xml:space="preserve"> + </v>
      </c>
      <c r="F36" s="85" t="str">
        <f>Table3345[[#This Row],[EVENTO 1 MYP]]&amp;" + "&amp;Table3345[[#This Row],[EVENTO 2 MYP]]</f>
        <v xml:space="preserve"> + </v>
      </c>
      <c r="G36" s="85" t="str">
        <f>Table33456[[#This Row],[EVENTO 1 DP]]&amp;" + "&amp;Table33456[[#This Row],[EVENTO 2 DP]]</f>
        <v xml:space="preserve"> + </v>
      </c>
      <c r="H36" s="85"/>
      <c r="I36" s="88"/>
      <c r="J36" s="88"/>
      <c r="K36" s="20"/>
      <c r="L36" s="26"/>
      <c r="M36" s="8"/>
      <c r="N36" s="8"/>
      <c r="O36" s="29"/>
      <c r="P36" s="29"/>
      <c r="Q36" s="29"/>
      <c r="V36" s="1"/>
    </row>
    <row r="37" spans="1:22" ht="24" hidden="1" x14ac:dyDescent="0.2">
      <c r="A37" s="7">
        <v>45873</v>
      </c>
      <c r="B37" s="24" t="s">
        <v>23</v>
      </c>
      <c r="C37" s="6" t="s">
        <v>30</v>
      </c>
      <c r="D37" s="91" t="str">
        <f>Table33[[#This Row],[EVENTO 1 PRESC.]]&amp;" + "&amp;Table33[[#This Row],[EVENTO 2 PRESC.]]</f>
        <v xml:space="preserve"> + </v>
      </c>
      <c r="E37" s="91" t="str">
        <f>Table334[[#This Row],[EVENTO 1 PYP]]&amp;" + "&amp;Table334[[#This Row],[EVENTO 2 PYP]]</f>
        <v xml:space="preserve"> + </v>
      </c>
      <c r="F37" s="91" t="str">
        <f>Table3345[[#This Row],[EVENTO 1 MYP]]&amp;" + "&amp;Table3345[[#This Row],[EVENTO 2 MYP]]</f>
        <v xml:space="preserve"> + </v>
      </c>
      <c r="G37" s="91" t="str">
        <f>Table33456[[#This Row],[EVENTO 1 DP]]&amp;" + "&amp;Table33456[[#This Row],[EVENTO 2 DP]]</f>
        <v xml:space="preserve">G.11 PRE-ICFES  + </v>
      </c>
      <c r="H37" s="91"/>
      <c r="I37" s="92"/>
      <c r="J37" s="92"/>
      <c r="K37" s="21"/>
      <c r="L37" s="27"/>
      <c r="M37" s="5"/>
      <c r="N37" s="5"/>
      <c r="O37" s="29" t="s">
        <v>31</v>
      </c>
      <c r="P37" s="29" t="s">
        <v>32</v>
      </c>
      <c r="Q37" s="29"/>
      <c r="V37" s="1"/>
    </row>
    <row r="38" spans="1:22" ht="24" hidden="1" x14ac:dyDescent="0.2">
      <c r="A38" s="7">
        <v>45874</v>
      </c>
      <c r="B38" s="24" t="s">
        <v>23</v>
      </c>
      <c r="C38" s="6" t="s">
        <v>33</v>
      </c>
      <c r="D38" s="91" t="str">
        <f>Table33[[#This Row],[EVENTO 1 PRESC.]]&amp;" + "&amp;Table33[[#This Row],[EVENTO 2 PRESC.]]</f>
        <v xml:space="preserve"> + </v>
      </c>
      <c r="E38" s="91" t="str">
        <f>Table334[[#This Row],[EVENTO 1 PYP]]&amp;" + "&amp;Table334[[#This Row],[EVENTO 2 PYP]]</f>
        <v xml:space="preserve"> + </v>
      </c>
      <c r="F38" s="91" t="str">
        <f>Table3345[[#This Row],[EVENTO 1 MYP]]&amp;" + "&amp;Table3345[[#This Row],[EVENTO 2 MYP]]</f>
        <v xml:space="preserve"> + </v>
      </c>
      <c r="G38" s="91" t="str">
        <f>Table33456[[#This Row],[EVENTO 1 DP]]&amp;" + "&amp;Table33456[[#This Row],[EVENTO 2 DP]]</f>
        <v xml:space="preserve">G.11 PRE-ICFES  + </v>
      </c>
      <c r="H38" s="91"/>
      <c r="I38" s="92"/>
      <c r="J38" s="92"/>
      <c r="K38" s="21"/>
      <c r="L38" s="27"/>
      <c r="M38" s="5"/>
      <c r="N38" s="5"/>
      <c r="O38" s="29" t="s">
        <v>34</v>
      </c>
      <c r="P38" s="29"/>
      <c r="Q38" s="29"/>
      <c r="V38" s="1"/>
    </row>
    <row r="39" spans="1:22" ht="24" hidden="1" x14ac:dyDescent="0.2">
      <c r="A39" s="7">
        <v>45875</v>
      </c>
      <c r="B39" s="24" t="s">
        <v>23</v>
      </c>
      <c r="C39" s="6" t="s">
        <v>33</v>
      </c>
      <c r="D39" s="91" t="str">
        <f>Table33[[#This Row],[EVENTO 1 PRESC.]]&amp;" + "&amp;Table33[[#This Row],[EVENTO 2 PRESC.]]</f>
        <v xml:space="preserve"> + </v>
      </c>
      <c r="E39" s="91" t="str">
        <f>Table334[[#This Row],[EVENTO 1 PYP]]&amp;" + "&amp;Table334[[#This Row],[EVENTO 2 PYP]]</f>
        <v xml:space="preserve"> + </v>
      </c>
      <c r="F39" s="91" t="str">
        <f>Table3345[[#This Row],[EVENTO 1 MYP]]&amp;" + "&amp;Table3345[[#This Row],[EVENTO 2 MYP]]</f>
        <v xml:space="preserve"> + </v>
      </c>
      <c r="G39" s="91" t="str">
        <f>Table33456[[#This Row],[EVENTO 1 DP]]&amp;" + "&amp;Table33456[[#This Row],[EVENTO 2 DP]]</f>
        <v xml:space="preserve">G.11 PRE-ICFES  + </v>
      </c>
      <c r="H39" s="91"/>
      <c r="I39" s="92"/>
      <c r="J39" s="92"/>
      <c r="K39" s="21"/>
      <c r="L39" s="27"/>
      <c r="M39" s="5"/>
      <c r="N39" s="5"/>
      <c r="O39" s="29"/>
      <c r="P39" s="29"/>
      <c r="Q39" s="29"/>
      <c r="V39" s="1"/>
    </row>
    <row r="40" spans="1:22" ht="24" hidden="1" x14ac:dyDescent="0.2">
      <c r="A40" s="10">
        <v>45876</v>
      </c>
      <c r="B40" s="23" t="s">
        <v>17</v>
      </c>
      <c r="C40" s="9"/>
      <c r="D40" s="85" t="str">
        <f>Table33[[#This Row],[EVENTO 1 PRESC.]]&amp;" + "&amp;Table33[[#This Row],[EVENTO 2 PRESC.]]</f>
        <v xml:space="preserve"> + </v>
      </c>
      <c r="E40" s="85" t="str">
        <f>Table334[[#This Row],[EVENTO 1 PYP]]&amp;" + "&amp;Table334[[#This Row],[EVENTO 2 PYP]]</f>
        <v xml:space="preserve"> + </v>
      </c>
      <c r="F40" s="85" t="str">
        <f>Table3345[[#This Row],[EVENTO 1 MYP]]&amp;" + "&amp;Table3345[[#This Row],[EVENTO 2 MYP]]</f>
        <v xml:space="preserve"> + </v>
      </c>
      <c r="G40" s="85" t="str">
        <f>Table33456[[#This Row],[EVENTO 1 DP]]&amp;" + "&amp;Table33456[[#This Row],[EVENTO 2 DP]]</f>
        <v xml:space="preserve"> + </v>
      </c>
      <c r="H40" s="85"/>
      <c r="I40" s="88"/>
      <c r="J40" s="88"/>
      <c r="K40" s="20"/>
      <c r="L40" s="26"/>
      <c r="M40" s="8"/>
      <c r="N40" s="8"/>
      <c r="O40" s="29"/>
      <c r="P40" s="29"/>
      <c r="Q40" s="29"/>
      <c r="V40" s="1"/>
    </row>
    <row r="41" spans="1:22" ht="112" hidden="1" x14ac:dyDescent="0.2">
      <c r="A41" s="7">
        <v>45877</v>
      </c>
      <c r="B41" s="24" t="s">
        <v>23</v>
      </c>
      <c r="C41" s="6" t="s">
        <v>33</v>
      </c>
      <c r="D41" s="91" t="str">
        <f>Table33[[#This Row],[EVENTO 1 PRESC.]]&amp;" + "&amp;Table33[[#This Row],[EVENTO 2 PRESC.]]</f>
        <v xml:space="preserve"> + </v>
      </c>
      <c r="E41" s="91" t="str">
        <f>Table334[[#This Row],[EVENTO 1 PYP]]&amp;" + "&amp;Table334[[#This Row],[EVENTO 2 PYP]]</f>
        <v xml:space="preserve"> + </v>
      </c>
      <c r="F41" s="91" t="str">
        <f>Table3345[[#This Row],[EVENTO 1 MYP]]&amp;" + "&amp;Table3345[[#This Row],[EVENTO 2 MYP]]</f>
        <v xml:space="preserve"> + </v>
      </c>
      <c r="G41" s="91" t="str">
        <f>Table33456[[#This Row],[EVENTO 1 DP]]&amp;" + "&amp;Table33456[[#This Row],[EVENTO 2 DP]]</f>
        <v xml:space="preserve">G.11 PRE-ICFES  + </v>
      </c>
      <c r="H41" s="91"/>
      <c r="I41" s="92" t="s">
        <v>35</v>
      </c>
      <c r="J41" s="92"/>
      <c r="K41" s="21"/>
      <c r="L41" s="27"/>
      <c r="M41" s="5"/>
      <c r="N41" s="5"/>
      <c r="O41" s="29"/>
      <c r="P41" s="29"/>
      <c r="Q41" s="29"/>
      <c r="V41" s="1"/>
    </row>
    <row r="42" spans="1:22" ht="24" hidden="1" x14ac:dyDescent="0.2">
      <c r="A42" s="10">
        <v>45878</v>
      </c>
      <c r="B42" s="23" t="s">
        <v>20</v>
      </c>
      <c r="C42" s="9"/>
      <c r="D42" s="85" t="str">
        <f>Table33[[#This Row],[EVENTO 1 PRESC.]]&amp;" + "&amp;Table33[[#This Row],[EVENTO 2 PRESC.]]</f>
        <v xml:space="preserve"> + </v>
      </c>
      <c r="E42" s="85" t="str">
        <f>Table334[[#This Row],[EVENTO 1 PYP]]&amp;" + "&amp;Table334[[#This Row],[EVENTO 2 PYP]]</f>
        <v xml:space="preserve"> + </v>
      </c>
      <c r="F42" s="85" t="str">
        <f>Table3345[[#This Row],[EVENTO 1 MYP]]&amp;" + "&amp;Table3345[[#This Row],[EVENTO 2 MYP]]</f>
        <v xml:space="preserve"> + </v>
      </c>
      <c r="G42" s="85" t="str">
        <f>Table33456[[#This Row],[EVENTO 1 DP]]&amp;" + "&amp;Table33456[[#This Row],[EVENTO 2 DP]]</f>
        <v xml:space="preserve"> + </v>
      </c>
      <c r="H42" s="85"/>
      <c r="I42" s="88"/>
      <c r="J42" s="88"/>
      <c r="K42" s="20"/>
      <c r="L42" s="26"/>
      <c r="M42" s="8"/>
      <c r="N42" s="8"/>
      <c r="O42" s="29"/>
      <c r="P42" s="29"/>
      <c r="Q42" s="29"/>
      <c r="V42" s="1"/>
    </row>
    <row r="43" spans="1:22" ht="24" hidden="1" x14ac:dyDescent="0.2">
      <c r="A43" s="10">
        <v>45879</v>
      </c>
      <c r="B43" s="23" t="s">
        <v>20</v>
      </c>
      <c r="C43" s="9"/>
      <c r="D43" s="85" t="str">
        <f>Table33[[#This Row],[EVENTO 1 PRESC.]]&amp;" + "&amp;Table33[[#This Row],[EVENTO 2 PRESC.]]</f>
        <v xml:space="preserve"> + </v>
      </c>
      <c r="E43" s="85" t="str">
        <f>Table334[[#This Row],[EVENTO 1 PYP]]&amp;" + "&amp;Table334[[#This Row],[EVENTO 2 PYP]]</f>
        <v xml:space="preserve"> + </v>
      </c>
      <c r="F43" s="85" t="str">
        <f>Table3345[[#This Row],[EVENTO 1 MYP]]&amp;" + "&amp;Table3345[[#This Row],[EVENTO 2 MYP]]</f>
        <v xml:space="preserve"> + </v>
      </c>
      <c r="G43" s="85" t="str">
        <f>Table33456[[#This Row],[EVENTO 1 DP]]&amp;" + "&amp;Table33456[[#This Row],[EVENTO 2 DP]]</f>
        <v xml:space="preserve"> + </v>
      </c>
      <c r="H43" s="85"/>
      <c r="I43" s="88"/>
      <c r="J43" s="88"/>
      <c r="K43" s="20"/>
      <c r="L43" s="26"/>
      <c r="M43" s="8"/>
      <c r="N43" s="8"/>
      <c r="O43" s="29"/>
      <c r="P43" s="29"/>
      <c r="Q43" s="29"/>
      <c r="V43" s="1"/>
    </row>
    <row r="44" spans="1:22" ht="112" hidden="1" x14ac:dyDescent="0.2">
      <c r="A44" s="7">
        <v>45880</v>
      </c>
      <c r="B44" s="24" t="s">
        <v>23</v>
      </c>
      <c r="C44" s="6" t="s">
        <v>36</v>
      </c>
      <c r="D44" s="91" t="str">
        <f>Table33[[#This Row],[EVENTO 1 PRESC.]]&amp;" + "&amp;Table33[[#This Row],[EVENTO 2 PRESC.]]</f>
        <v xml:space="preserve">Preschool Meet &amp; Greet Day (New students)  + </v>
      </c>
      <c r="E44" s="91" t="str">
        <f>Table334[[#This Row],[EVENTO 1 PYP]]&amp;" + "&amp;Table334[[#This Row],[EVENTO 2 PYP]]</f>
        <v xml:space="preserve">Meet &amp; Greet Day (New students)  + </v>
      </c>
      <c r="F44" s="91" t="str">
        <f>Table3345[[#This Row],[EVENTO 1 MYP]]&amp;" + "&amp;Table3345[[#This Row],[EVENTO 2 MYP]]</f>
        <v xml:space="preserve"> + </v>
      </c>
      <c r="G44" s="91" t="str">
        <f>Table33456[[#This Row],[EVENTO 1 DP]]&amp;" + "&amp;Table33456[[#This Row],[EVENTO 2 DP]]</f>
        <v xml:space="preserve">G.11 PRE-ICFES  Simulacro + </v>
      </c>
      <c r="H44" s="91"/>
      <c r="I44" s="92" t="s">
        <v>35</v>
      </c>
      <c r="J44" s="92"/>
      <c r="K44" s="21"/>
      <c r="L44" s="27">
        <v>1</v>
      </c>
      <c r="M44" s="5"/>
      <c r="N44" s="5"/>
      <c r="O44" s="29"/>
      <c r="P44" s="29" t="s">
        <v>34</v>
      </c>
      <c r="Q44" s="29" t="s">
        <v>37</v>
      </c>
      <c r="V44" s="1"/>
    </row>
    <row r="45" spans="1:22" ht="32" hidden="1" x14ac:dyDescent="0.2">
      <c r="A45" s="7">
        <v>45881</v>
      </c>
      <c r="B45" s="24" t="s">
        <v>23</v>
      </c>
      <c r="C45" s="6" t="s">
        <v>38</v>
      </c>
      <c r="D45" s="91" t="str">
        <f>Table33[[#This Row],[EVENTO 1 PRESC.]]&amp;" + "&amp;Table33[[#This Row],[EVENTO 2 PRESC.]]</f>
        <v xml:space="preserve"> + </v>
      </c>
      <c r="E45" s="91" t="str">
        <f>Table334[[#This Row],[EVENTO 1 PYP]]&amp;" + "&amp;Table334[[#This Row],[EVENTO 2 PYP]]</f>
        <v xml:space="preserve">Meet &amp; Greet Day (New students2nd)  + </v>
      </c>
      <c r="F45" s="91" t="str">
        <f>Table3345[[#This Row],[EVENTO 1 MYP]]&amp;" + "&amp;Table3345[[#This Row],[EVENTO 2 MYP]]</f>
        <v xml:space="preserve"> + </v>
      </c>
      <c r="G45" s="91" t="str">
        <f>Table33456[[#This Row],[EVENTO 1 DP]]&amp;" + "&amp;Table33456[[#This Row],[EVENTO 2 DP]]</f>
        <v xml:space="preserve"> + </v>
      </c>
      <c r="H45" s="91"/>
      <c r="I45" s="92"/>
      <c r="J45" s="92"/>
      <c r="K45" s="21"/>
      <c r="L45" s="27"/>
      <c r="M45" s="5"/>
      <c r="N45" s="5"/>
      <c r="O45" s="29"/>
      <c r="P45" s="29" t="s">
        <v>39</v>
      </c>
      <c r="Q45" s="29" t="s">
        <v>40</v>
      </c>
      <c r="V45" s="1"/>
    </row>
    <row r="46" spans="1:22" ht="32" hidden="1" x14ac:dyDescent="0.2">
      <c r="A46" s="7">
        <v>45882</v>
      </c>
      <c r="B46" s="33">
        <v>1</v>
      </c>
      <c r="C46" s="6" t="s">
        <v>41</v>
      </c>
      <c r="D46" s="91" t="str">
        <f>Table33[[#This Row],[EVENTO 1 PRESC.]]&amp;" + "&amp;Table33[[#This Row],[EVENTO 2 PRESC.]]</f>
        <v xml:space="preserve">Preschool Welcome Back Day (All students) + </v>
      </c>
      <c r="E46" s="91" t="str">
        <f>Table334[[#This Row],[EVENTO 1 PYP]]&amp;" + "&amp;Table334[[#This Row],[EVENTO 2 PYP]]</f>
        <v xml:space="preserve">Welcome Back Day (All students) + </v>
      </c>
      <c r="F46" s="91" t="str">
        <f>Table3345[[#This Row],[EVENTO 1 MYP]]&amp;" + "&amp;Table3345[[#This Row],[EVENTO 2 MYP]]</f>
        <v xml:space="preserve"> + </v>
      </c>
      <c r="G46" s="91" t="str">
        <f>Table33456[[#This Row],[EVENTO 1 DP]]&amp;" + "&amp;Table33456[[#This Row],[EVENTO 2 DP]]</f>
        <v xml:space="preserve"> + </v>
      </c>
      <c r="H46" s="91"/>
      <c r="I46" s="92"/>
      <c r="J46" s="92"/>
      <c r="K46" s="21"/>
      <c r="L46" s="27"/>
      <c r="M46" s="5"/>
      <c r="N46" s="5"/>
      <c r="O46" s="29"/>
      <c r="P46" s="29" t="s">
        <v>42</v>
      </c>
      <c r="Q46" s="29" t="s">
        <v>43</v>
      </c>
      <c r="V46" s="1"/>
    </row>
    <row r="47" spans="1:22" ht="24" hidden="1" x14ac:dyDescent="0.2">
      <c r="A47" s="7">
        <v>45883</v>
      </c>
      <c r="B47" s="33">
        <v>2</v>
      </c>
      <c r="C47" s="6"/>
      <c r="D47" s="91" t="str">
        <f>Table33[[#This Row],[EVENTO 1 PRESC.]]&amp;" + "&amp;Table33[[#This Row],[EVENTO 2 PRESC.]]</f>
        <v xml:space="preserve">Diagnostic activities + </v>
      </c>
      <c r="E47" s="91" t="str">
        <f>Table334[[#This Row],[EVENTO 1 PYP]]&amp;" + "&amp;Table334[[#This Row],[EVENTO 2 PYP]]</f>
        <v xml:space="preserve">Diagnostic activities + </v>
      </c>
      <c r="F47" s="91" t="str">
        <f>Table3345[[#This Row],[EVENTO 1 MYP]]&amp;" + "&amp;Table3345[[#This Row],[EVENTO 2 MYP]]</f>
        <v xml:space="preserve"> + </v>
      </c>
      <c r="G47" s="91" t="str">
        <f>Table33456[[#This Row],[EVENTO 1 DP]]&amp;" + "&amp;Table33456[[#This Row],[EVENTO 2 DP]]</f>
        <v xml:space="preserve"> + </v>
      </c>
      <c r="H47" s="91"/>
      <c r="I47" s="92"/>
      <c r="J47" s="92"/>
      <c r="K47" s="21"/>
      <c r="L47" s="27"/>
      <c r="M47" s="5"/>
      <c r="N47" s="5"/>
      <c r="O47" s="29" t="s">
        <v>44</v>
      </c>
      <c r="P47" s="29" t="s">
        <v>45</v>
      </c>
      <c r="Q47" s="29"/>
      <c r="V47" s="1"/>
    </row>
    <row r="48" spans="1:22" ht="24" hidden="1" x14ac:dyDescent="0.2">
      <c r="A48" s="7">
        <v>45884</v>
      </c>
      <c r="B48" s="33">
        <v>3</v>
      </c>
      <c r="C48" s="6"/>
      <c r="D48" s="91" t="str">
        <f>Table33[[#This Row],[EVENTO 1 PRESC.]]&amp;" + "&amp;Table33[[#This Row],[EVENTO 2 PRESC.]]</f>
        <v xml:space="preserve">Diagnostic activities + </v>
      </c>
      <c r="E48" s="91" t="str">
        <f>Table334[[#This Row],[EVENTO 1 PYP]]&amp;" + "&amp;Table334[[#This Row],[EVENTO 2 PYP]]</f>
        <v xml:space="preserve">Diagnostic activities + </v>
      </c>
      <c r="F48" s="91" t="str">
        <f>Table3345[[#This Row],[EVENTO 1 MYP]]&amp;" + "&amp;Table3345[[#This Row],[EVENTO 2 MYP]]</f>
        <v xml:space="preserve"> + </v>
      </c>
      <c r="G48" s="91" t="str">
        <f>Table33456[[#This Row],[EVENTO 1 DP]]&amp;" + "&amp;Table33456[[#This Row],[EVENTO 2 DP]]</f>
        <v xml:space="preserve"> + </v>
      </c>
      <c r="H48" s="91"/>
      <c r="I48" s="92"/>
      <c r="J48" s="92"/>
      <c r="K48" s="21"/>
      <c r="L48" s="27"/>
      <c r="M48" s="5"/>
      <c r="N48" s="5"/>
      <c r="O48" s="29" t="s">
        <v>46</v>
      </c>
      <c r="P48" s="29"/>
      <c r="Q48" s="29"/>
      <c r="V48" s="1"/>
    </row>
    <row r="49" spans="1:22" ht="24" hidden="1" x14ac:dyDescent="0.2">
      <c r="A49" s="10">
        <v>45885</v>
      </c>
      <c r="B49" s="23" t="s">
        <v>20</v>
      </c>
      <c r="C49" s="9"/>
      <c r="D49" s="85" t="str">
        <f>Table33[[#This Row],[EVENTO 1 PRESC.]]&amp;" + "&amp;Table33[[#This Row],[EVENTO 2 PRESC.]]</f>
        <v xml:space="preserve"> + </v>
      </c>
      <c r="E49" s="85" t="str">
        <f>Table334[[#This Row],[EVENTO 1 PYP]]&amp;" + "&amp;Table334[[#This Row],[EVENTO 2 PYP]]</f>
        <v xml:space="preserve"> + </v>
      </c>
      <c r="F49" s="85" t="str">
        <f>Table3345[[#This Row],[EVENTO 1 MYP]]&amp;" + "&amp;Table3345[[#This Row],[EVENTO 2 MYP]]</f>
        <v xml:space="preserve"> + </v>
      </c>
      <c r="G49" s="85" t="str">
        <f>Table33456[[#This Row],[EVENTO 1 DP]]&amp;" + "&amp;Table33456[[#This Row],[EVENTO 2 DP]]</f>
        <v xml:space="preserve"> + </v>
      </c>
      <c r="H49" s="85"/>
      <c r="I49" s="88"/>
      <c r="J49" s="88"/>
      <c r="K49" s="20"/>
      <c r="L49" s="26"/>
      <c r="M49" s="8"/>
      <c r="N49" s="8"/>
      <c r="O49" s="29"/>
      <c r="P49" s="29"/>
      <c r="Q49" s="29"/>
      <c r="V49" s="1"/>
    </row>
    <row r="50" spans="1:22" ht="24" hidden="1" x14ac:dyDescent="0.2">
      <c r="A50" s="10">
        <v>45886</v>
      </c>
      <c r="B50" s="23" t="s">
        <v>20</v>
      </c>
      <c r="C50" s="9"/>
      <c r="D50" s="85" t="str">
        <f>Table33[[#This Row],[EVENTO 1 PRESC.]]&amp;" + "&amp;Table33[[#This Row],[EVENTO 2 PRESC.]]</f>
        <v xml:space="preserve"> + </v>
      </c>
      <c r="E50" s="85" t="str">
        <f>Table334[[#This Row],[EVENTO 1 PYP]]&amp;" + "&amp;Table334[[#This Row],[EVENTO 2 PYP]]</f>
        <v xml:space="preserve"> + </v>
      </c>
      <c r="F50" s="85" t="str">
        <f>Table3345[[#This Row],[EVENTO 1 MYP]]&amp;" + "&amp;Table3345[[#This Row],[EVENTO 2 MYP]]</f>
        <v xml:space="preserve"> + </v>
      </c>
      <c r="G50" s="85" t="str">
        <f>Table33456[[#This Row],[EVENTO 1 DP]]&amp;" + "&amp;Table33456[[#This Row],[EVENTO 2 DP]]</f>
        <v xml:space="preserve"> + </v>
      </c>
      <c r="H50" s="85"/>
      <c r="I50" s="88"/>
      <c r="J50" s="88"/>
      <c r="K50" s="20"/>
      <c r="L50" s="26"/>
      <c r="M50" s="8"/>
      <c r="N50" s="8"/>
      <c r="O50" s="29"/>
      <c r="P50" s="29"/>
      <c r="Q50" s="29"/>
      <c r="V50" s="1"/>
    </row>
    <row r="51" spans="1:22" ht="24" hidden="1" x14ac:dyDescent="0.2">
      <c r="A51" s="10">
        <v>45887</v>
      </c>
      <c r="B51" s="23" t="s">
        <v>17</v>
      </c>
      <c r="C51" s="9"/>
      <c r="D51" s="85" t="str">
        <f>Table33[[#This Row],[EVENTO 1 PRESC.]]&amp;" + "&amp;Table33[[#This Row],[EVENTO 2 PRESC.]]</f>
        <v xml:space="preserve"> + </v>
      </c>
      <c r="E51" s="85" t="str">
        <f>Table334[[#This Row],[EVENTO 1 PYP]]&amp;" + "&amp;Table334[[#This Row],[EVENTO 2 PYP]]</f>
        <v xml:space="preserve"> + </v>
      </c>
      <c r="F51" s="85" t="str">
        <f>Table3345[[#This Row],[EVENTO 1 MYP]]&amp;" + "&amp;Table3345[[#This Row],[EVENTO 2 MYP]]</f>
        <v xml:space="preserve"> + </v>
      </c>
      <c r="G51" s="85" t="str">
        <f>Table33456[[#This Row],[EVENTO 1 DP]]&amp;" + "&amp;Table33456[[#This Row],[EVENTO 2 DP]]</f>
        <v xml:space="preserve"> + </v>
      </c>
      <c r="H51" s="85"/>
      <c r="I51" s="88"/>
      <c r="J51" s="88"/>
      <c r="K51" s="20"/>
      <c r="L51" s="26"/>
      <c r="M51" s="8"/>
      <c r="N51" s="8"/>
      <c r="O51" s="29"/>
      <c r="P51" s="29"/>
      <c r="Q51" s="29"/>
      <c r="V51" s="1"/>
    </row>
    <row r="52" spans="1:22" ht="32" hidden="1" x14ac:dyDescent="0.2">
      <c r="A52" s="7">
        <v>45888</v>
      </c>
      <c r="B52" s="33">
        <v>4</v>
      </c>
      <c r="C52" s="6"/>
      <c r="D52" s="91" t="str">
        <f>Table33[[#This Row],[EVENTO 1 PRESC.]]&amp;" + "&amp;Table33[[#This Row],[EVENTO 2 PRESC.]]</f>
        <v xml:space="preserve">Diagnostic activities + </v>
      </c>
      <c r="E52" s="91" t="str">
        <f>Table334[[#This Row],[EVENTO 1 PYP]]&amp;" + "&amp;Table334[[#This Row],[EVENTO 2 PYP]]</f>
        <v xml:space="preserve">Diagnostic activities + </v>
      </c>
      <c r="F52" s="91" t="str">
        <f>Table3345[[#This Row],[EVENTO 1 MYP]]&amp;" + "&amp;Table3345[[#This Row],[EVENTO 2 MYP]]</f>
        <v xml:space="preserve">ENCUENTRO VIRTUAL CON PADRES NUEVOS GRADO SEXTO 6:00 PM + </v>
      </c>
      <c r="G52" s="91" t="str">
        <f>Table33456[[#This Row],[EVENTO 1 DP]]&amp;" + "&amp;Table33456[[#This Row],[EVENTO 2 DP]]</f>
        <v xml:space="preserve"> + </v>
      </c>
      <c r="H52" s="91"/>
      <c r="I52" s="92"/>
      <c r="J52" s="92"/>
      <c r="K52" s="21"/>
      <c r="L52" s="27">
        <f>1+SUM(L43:L49)</f>
        <v>2</v>
      </c>
      <c r="M52" s="5"/>
      <c r="N52" s="5"/>
      <c r="O52" s="29"/>
      <c r="P52" s="29"/>
      <c r="Q52" s="29"/>
      <c r="V52" s="1"/>
    </row>
    <row r="53" spans="1:22" ht="32" hidden="1" x14ac:dyDescent="0.2">
      <c r="A53" s="7">
        <v>45889</v>
      </c>
      <c r="B53" s="33">
        <v>5</v>
      </c>
      <c r="C53" s="6"/>
      <c r="D53" s="91" t="str">
        <f>Table33[[#This Row],[EVENTO 1 PRESC.]]&amp;" + "&amp;Table33[[#This Row],[EVENTO 2 PRESC.]]</f>
        <v xml:space="preserve">Diagnostic activities + </v>
      </c>
      <c r="E53" s="91" t="str">
        <f>Table334[[#This Row],[EVENTO 1 PYP]]&amp;" + "&amp;Table334[[#This Row],[EVENTO 2 PYP]]</f>
        <v xml:space="preserve">Diagnostic activities + </v>
      </c>
      <c r="F53" s="91" t="str">
        <f>Table3345[[#This Row],[EVENTO 1 MYP]]&amp;" + "&amp;Table3345[[#This Row],[EVENTO 2 MYP]]</f>
        <v xml:space="preserve">ENCUENTRO VIRTUAL CON PADRES NUEVOS GRADO SÉPTIMO 6:00 PM + </v>
      </c>
      <c r="G53" s="91" t="str">
        <f>Table33456[[#This Row],[EVENTO 1 DP]]&amp;" + "&amp;Table33456[[#This Row],[EVENTO 2 DP]]</f>
        <v xml:space="preserve"> + </v>
      </c>
      <c r="H53" s="91"/>
      <c r="I53" s="92"/>
      <c r="J53" s="92"/>
      <c r="K53" s="21"/>
      <c r="L53" s="27"/>
      <c r="M53" s="5"/>
      <c r="N53" s="5"/>
      <c r="O53" s="29"/>
      <c r="P53" s="29"/>
      <c r="Q53" s="29"/>
      <c r="V53" s="1"/>
    </row>
    <row r="54" spans="1:22" ht="24" hidden="1" x14ac:dyDescent="0.2">
      <c r="A54" s="7">
        <v>45890</v>
      </c>
      <c r="B54" s="33">
        <v>6</v>
      </c>
      <c r="C54" s="6"/>
      <c r="D54" s="91" t="str">
        <f>Table33[[#This Row],[EVENTO 1 PRESC.]]&amp;" + "&amp;Table33[[#This Row],[EVENTO 2 PRESC.]]</f>
        <v xml:space="preserve">Diagnostic activities + </v>
      </c>
      <c r="E54" s="91" t="str">
        <f>Table334[[#This Row],[EVENTO 1 PYP]]&amp;" + "&amp;Table334[[#This Row],[EVENTO 2 PYP]]</f>
        <v xml:space="preserve">Diagnostic activities + </v>
      </c>
      <c r="F54" s="91" t="str">
        <f>Table3345[[#This Row],[EVENTO 1 MYP]]&amp;" + "&amp;Table3345[[#This Row],[EVENTO 2 MYP]]</f>
        <v xml:space="preserve"> + </v>
      </c>
      <c r="G54" s="91" t="str">
        <f>Table33456[[#This Row],[EVENTO 1 DP]]&amp;" + "&amp;Table33456[[#This Row],[EVENTO 2 DP]]</f>
        <v xml:space="preserve"> + </v>
      </c>
      <c r="H54" s="91"/>
      <c r="I54" s="92"/>
      <c r="J54" s="92"/>
      <c r="K54" s="21">
        <v>1</v>
      </c>
      <c r="L54" s="27"/>
      <c r="M54" s="5"/>
      <c r="N54" s="5"/>
      <c r="O54" s="29"/>
      <c r="P54" s="29"/>
      <c r="Q54" s="29"/>
      <c r="V54" s="1"/>
    </row>
    <row r="55" spans="1:22" ht="64" hidden="1" x14ac:dyDescent="0.2">
      <c r="A55" s="7">
        <v>45891</v>
      </c>
      <c r="B55" s="33">
        <v>1</v>
      </c>
      <c r="C55" s="6"/>
      <c r="D55" s="91" t="str">
        <f>Table33[[#This Row],[EVENTO 1 PRESC.]]&amp;" + "&amp;Table33[[#This Row],[EVENTO 2 PRESC.]]</f>
        <v xml:space="preserve"> + </v>
      </c>
      <c r="E55" s="91" t="str">
        <f>Table334[[#This Row],[EVENTO 1 PYP]]&amp;" + "&amp;Table334[[#This Row],[EVENTO 2 PYP]]</f>
        <v xml:space="preserve"> + </v>
      </c>
      <c r="F55" s="91" t="str">
        <f>Table3345[[#This Row],[EVENTO 1 MYP]]&amp;" + "&amp;Table3345[[#This Row],[EVENTO 2 MYP]]</f>
        <v xml:space="preserve"> + </v>
      </c>
      <c r="G55" s="91" t="str">
        <f>Table33456[[#This Row],[EVENTO 1 DP]]&amp;" + "&amp;Table33456[[#This Row],[EVENTO 2 DP]]</f>
        <v xml:space="preserve"> + </v>
      </c>
      <c r="H55" s="91"/>
      <c r="I55" s="92"/>
      <c r="J55" s="92" t="s">
        <v>47</v>
      </c>
      <c r="K55" s="21"/>
      <c r="L55" s="27"/>
      <c r="M55" s="5"/>
      <c r="N55" s="5"/>
      <c r="O55" s="29"/>
      <c r="P55" s="29"/>
      <c r="Q55" s="29"/>
      <c r="V55" s="1"/>
    </row>
    <row r="56" spans="1:22" ht="24" hidden="1" x14ac:dyDescent="0.2">
      <c r="A56" s="10">
        <v>45892</v>
      </c>
      <c r="B56" s="23" t="s">
        <v>20</v>
      </c>
      <c r="C56" s="9"/>
      <c r="D56" s="85" t="str">
        <f>Table33[[#This Row],[EVENTO 1 PRESC.]]&amp;" + "&amp;Table33[[#This Row],[EVENTO 2 PRESC.]]</f>
        <v xml:space="preserve"> + </v>
      </c>
      <c r="E56" s="85" t="str">
        <f>Table334[[#This Row],[EVENTO 1 PYP]]&amp;" + "&amp;Table334[[#This Row],[EVENTO 2 PYP]]</f>
        <v xml:space="preserve"> + </v>
      </c>
      <c r="F56" s="85" t="str">
        <f>Table3345[[#This Row],[EVENTO 1 MYP]]&amp;" + "&amp;Table3345[[#This Row],[EVENTO 2 MYP]]</f>
        <v xml:space="preserve"> + </v>
      </c>
      <c r="G56" s="85" t="str">
        <f>Table33456[[#This Row],[EVENTO 1 DP]]&amp;" + "&amp;Table33456[[#This Row],[EVENTO 2 DP]]</f>
        <v xml:space="preserve"> + </v>
      </c>
      <c r="H56" s="85"/>
      <c r="I56" s="88"/>
      <c r="J56" s="88"/>
      <c r="K56" s="20"/>
      <c r="L56" s="26"/>
      <c r="M56" s="8"/>
      <c r="N56" s="8"/>
      <c r="O56" s="29"/>
      <c r="P56" s="29"/>
      <c r="Q56" s="29"/>
      <c r="V56" s="1"/>
    </row>
    <row r="57" spans="1:22" ht="24" hidden="1" x14ac:dyDescent="0.2">
      <c r="A57" s="10">
        <v>45893</v>
      </c>
      <c r="B57" s="23" t="s">
        <v>20</v>
      </c>
      <c r="C57" s="9"/>
      <c r="D57" s="85" t="str">
        <f>Table33[[#This Row],[EVENTO 1 PRESC.]]&amp;" + "&amp;Table33[[#This Row],[EVENTO 2 PRESC.]]</f>
        <v xml:space="preserve"> + </v>
      </c>
      <c r="E57" s="85" t="str">
        <f>Table334[[#This Row],[EVENTO 1 PYP]]&amp;" + "&amp;Table334[[#This Row],[EVENTO 2 PYP]]</f>
        <v xml:space="preserve"> + </v>
      </c>
      <c r="F57" s="85" t="str">
        <f>Table3345[[#This Row],[EVENTO 1 MYP]]&amp;" + "&amp;Table3345[[#This Row],[EVENTO 2 MYP]]</f>
        <v xml:space="preserve"> + </v>
      </c>
      <c r="G57" s="85" t="str">
        <f>Table33456[[#This Row],[EVENTO 1 DP]]&amp;" + "&amp;Table33456[[#This Row],[EVENTO 2 DP]]</f>
        <v xml:space="preserve"> + </v>
      </c>
      <c r="H57" s="85"/>
      <c r="I57" s="88"/>
      <c r="J57" s="88"/>
      <c r="K57" s="20"/>
      <c r="L57" s="26"/>
      <c r="M57" s="8"/>
      <c r="N57" s="8"/>
      <c r="O57" s="29"/>
      <c r="P57" s="29"/>
      <c r="Q57" s="29"/>
      <c r="V57" s="1"/>
    </row>
    <row r="58" spans="1:22" ht="32" hidden="1" x14ac:dyDescent="0.2">
      <c r="A58" s="7">
        <v>45894</v>
      </c>
      <c r="B58" s="33">
        <v>2</v>
      </c>
      <c r="C58" s="6"/>
      <c r="D58" s="91" t="str">
        <f>Table33[[#This Row],[EVENTO 1 PRESC.]]&amp;" + "&amp;Table33[[#This Row],[EVENTO 2 PRESC.]]</f>
        <v xml:space="preserve"> + </v>
      </c>
      <c r="E58" s="91" t="str">
        <f>Table334[[#This Row],[EVENTO 1 PYP]]&amp;" + "&amp;Table334[[#This Row],[EVENTO 2 PYP]]</f>
        <v xml:space="preserve"> + </v>
      </c>
      <c r="F58" s="91" t="str">
        <f>Table3345[[#This Row],[EVENTO 1 MYP]]&amp;" + "&amp;Table3345[[#This Row],[EVENTO 2 MYP]]</f>
        <v xml:space="preserve">ENCUENTRO VIRTUAL CON PADRES NUEVOS GRADO OCTAVO 6:00 PM + </v>
      </c>
      <c r="G58" s="91" t="str">
        <f>Table33456[[#This Row],[EVENTO 1 DP]]&amp;" + "&amp;Table33456[[#This Row],[EVENTO 2 DP]]</f>
        <v xml:space="preserve"> + </v>
      </c>
      <c r="H58" s="91"/>
      <c r="I58" s="92"/>
      <c r="J58" s="92"/>
      <c r="K58" s="21"/>
      <c r="L58" s="27">
        <f>1+SUM(L49:L55)</f>
        <v>3</v>
      </c>
      <c r="M58" s="5"/>
      <c r="N58" s="5"/>
      <c r="O58" s="29"/>
      <c r="P58" s="29"/>
      <c r="Q58" s="29"/>
      <c r="V58" s="1"/>
    </row>
    <row r="59" spans="1:22" ht="32" hidden="1" x14ac:dyDescent="0.2">
      <c r="A59" s="7">
        <v>45895</v>
      </c>
      <c r="B59" s="33">
        <v>3</v>
      </c>
      <c r="C59" s="6"/>
      <c r="D59" s="91" t="str">
        <f>Table33[[#This Row],[EVENTO 1 PRESC.]]&amp;" + "&amp;Table33[[#This Row],[EVENTO 2 PRESC.]]</f>
        <v xml:space="preserve"> + </v>
      </c>
      <c r="E59" s="91" t="str">
        <f>Table334[[#This Row],[EVENTO 1 PYP]]&amp;" + "&amp;Table334[[#This Row],[EVENTO 2 PYP]]</f>
        <v xml:space="preserve"> + </v>
      </c>
      <c r="F59" s="91" t="str">
        <f>Table3345[[#This Row],[EVENTO 1 MYP]]&amp;" + "&amp;Table3345[[#This Row],[EVENTO 2 MYP]]</f>
        <v xml:space="preserve">ENCUENTRO VIRTUAL CON PADRES NUEVOS GRADO NOVENO 6:00 PM + </v>
      </c>
      <c r="G59" s="91" t="str">
        <f>Table33456[[#This Row],[EVENTO 1 DP]]&amp;" + "&amp;Table33456[[#This Row],[EVENTO 2 DP]]</f>
        <v xml:space="preserve"> + </v>
      </c>
      <c r="H59" s="91"/>
      <c r="I59" s="92"/>
      <c r="J59" s="92"/>
      <c r="K59" s="21"/>
      <c r="L59" s="27"/>
      <c r="M59" s="5"/>
      <c r="N59" s="5"/>
      <c r="O59" s="29"/>
      <c r="P59" s="29"/>
      <c r="Q59" s="29"/>
      <c r="V59" s="1"/>
    </row>
    <row r="60" spans="1:22" ht="24" hidden="1" x14ac:dyDescent="0.2">
      <c r="A60" s="7">
        <v>45896</v>
      </c>
      <c r="B60" s="33">
        <v>4</v>
      </c>
      <c r="C60" s="6"/>
      <c r="D60" s="91" t="str">
        <f>Table33[[#This Row],[EVENTO 1 PRESC.]]&amp;" + "&amp;Table33[[#This Row],[EVENTO 2 PRESC.]]</f>
        <v xml:space="preserve"> + </v>
      </c>
      <c r="E60" s="91" t="str">
        <f>Table334[[#This Row],[EVENTO 1 PYP]]&amp;" + "&amp;Table334[[#This Row],[EVENTO 2 PYP]]</f>
        <v xml:space="preserve"> + </v>
      </c>
      <c r="F60" s="91" t="str">
        <f>Table3345[[#This Row],[EVENTO 1 MYP]]&amp;" + "&amp;Table3345[[#This Row],[EVENTO 2 MYP]]</f>
        <v xml:space="preserve"> + </v>
      </c>
      <c r="G60" s="91" t="str">
        <f>Table33456[[#This Row],[EVENTO 1 DP]]&amp;" + "&amp;Table33456[[#This Row],[EVENTO 2 DP]]</f>
        <v xml:space="preserve"> + </v>
      </c>
      <c r="H60" s="91"/>
      <c r="I60" s="92"/>
      <c r="J60" s="92"/>
      <c r="K60" s="21"/>
      <c r="L60" s="27"/>
      <c r="M60" s="5"/>
      <c r="N60" s="5"/>
      <c r="O60" s="29"/>
      <c r="P60" s="29"/>
      <c r="Q60" s="29"/>
      <c r="V60" s="1"/>
    </row>
    <row r="61" spans="1:22" ht="24" hidden="1" x14ac:dyDescent="0.2">
      <c r="A61" s="7">
        <v>45897</v>
      </c>
      <c r="B61" s="33">
        <v>5</v>
      </c>
      <c r="C61" s="6"/>
      <c r="D61" s="91" t="str">
        <f>Table33[[#This Row],[EVENTO 1 PRESC.]]&amp;" + "&amp;Table33[[#This Row],[EVENTO 2 PRESC.]]</f>
        <v xml:space="preserve"> + </v>
      </c>
      <c r="E61" s="91" t="str">
        <f>Table334[[#This Row],[EVENTO 1 PYP]]&amp;" + "&amp;Table334[[#This Row],[EVENTO 2 PYP]]</f>
        <v xml:space="preserve"> + </v>
      </c>
      <c r="F61" s="91" t="str">
        <f>Table3345[[#This Row],[EVENTO 1 MYP]]&amp;" + "&amp;Table3345[[#This Row],[EVENTO 2 MYP]]</f>
        <v xml:space="preserve"> + </v>
      </c>
      <c r="G61" s="91" t="str">
        <f>Table33456[[#This Row],[EVENTO 1 DP]]&amp;" + "&amp;Table33456[[#This Row],[EVENTO 2 DP]]</f>
        <v xml:space="preserve"> + </v>
      </c>
      <c r="H61" s="91"/>
      <c r="I61" s="92"/>
      <c r="J61" s="92"/>
      <c r="K61" s="21"/>
      <c r="L61" s="27"/>
      <c r="M61" s="5"/>
      <c r="N61" s="5"/>
      <c r="O61" s="29"/>
      <c r="P61" s="29"/>
      <c r="Q61" s="29"/>
      <c r="V61" s="1"/>
    </row>
    <row r="62" spans="1:22" ht="24" hidden="1" x14ac:dyDescent="0.2">
      <c r="A62" s="7">
        <v>45898</v>
      </c>
      <c r="B62" s="33">
        <v>6</v>
      </c>
      <c r="C62" s="6"/>
      <c r="D62" s="91" t="str">
        <f>Table33[[#This Row],[EVENTO 1 PRESC.]]&amp;" + "&amp;Table33[[#This Row],[EVENTO 2 PRESC.]]</f>
        <v xml:space="preserve"> + </v>
      </c>
      <c r="E62" s="91" t="str">
        <f>Table334[[#This Row],[EVENTO 1 PYP]]&amp;" + "&amp;Table334[[#This Row],[EVENTO 2 PYP]]</f>
        <v xml:space="preserve"> + </v>
      </c>
      <c r="F62" s="91" t="str">
        <f>Table3345[[#This Row],[EVENTO 1 MYP]]&amp;" + "&amp;Table3345[[#This Row],[EVENTO 2 MYP]]</f>
        <v xml:space="preserve"> + </v>
      </c>
      <c r="G62" s="91" t="str">
        <f>Table33456[[#This Row],[EVENTO 1 DP]]&amp;" + "&amp;Table33456[[#This Row],[EVENTO 2 DP]]</f>
        <v xml:space="preserve"> + </v>
      </c>
      <c r="H62" s="91"/>
      <c r="I62" s="92"/>
      <c r="J62" s="92"/>
      <c r="K62" s="21">
        <v>2</v>
      </c>
      <c r="L62" s="27"/>
      <c r="M62" s="5"/>
      <c r="N62" s="5"/>
      <c r="O62" s="29"/>
      <c r="P62" s="29"/>
      <c r="Q62" s="29"/>
      <c r="V62" s="1"/>
    </row>
    <row r="63" spans="1:22" ht="24" hidden="1" x14ac:dyDescent="0.2">
      <c r="A63" s="10">
        <v>45899</v>
      </c>
      <c r="B63" s="23" t="s">
        <v>48</v>
      </c>
      <c r="C63" s="23" t="s">
        <v>48</v>
      </c>
      <c r="D63" s="93" t="str">
        <f>Table33[[#This Row],[EVENTO 1 PRESC.]]&amp;" + "&amp;Table33[[#This Row],[EVENTO 2 PRESC.]]</f>
        <v xml:space="preserve">Open Day CIEDI (All families)  + </v>
      </c>
      <c r="E63" s="93" t="str">
        <f>Table334[[#This Row],[EVENTO 1 PYP]]&amp;" + "&amp;Table334[[#This Row],[EVENTO 2 PYP]]</f>
        <v xml:space="preserve">Open Day CIEDI (All families)  + </v>
      </c>
      <c r="F63" s="93" t="str">
        <f>Table3345[[#This Row],[EVENTO 1 MYP]]&amp;" + "&amp;Table3345[[#This Row],[EVENTO 2 MYP]]</f>
        <v xml:space="preserve"> + </v>
      </c>
      <c r="G63" s="93" t="str">
        <f>Table33456[[#This Row],[EVENTO 1 DP]]&amp;" + "&amp;Table33456[[#This Row],[EVENTO 2 DP]]</f>
        <v xml:space="preserve"> + </v>
      </c>
      <c r="H63" s="93"/>
      <c r="I63" s="94"/>
      <c r="J63" s="94"/>
      <c r="K63" s="20"/>
      <c r="L63" s="26"/>
      <c r="M63" s="8"/>
      <c r="N63" s="8"/>
      <c r="O63" s="29"/>
      <c r="P63" s="29"/>
      <c r="Q63" s="29"/>
      <c r="V63" s="1"/>
    </row>
    <row r="64" spans="1:22" ht="24" hidden="1" x14ac:dyDescent="0.2">
      <c r="A64" s="10">
        <v>45900</v>
      </c>
      <c r="B64" s="23" t="s">
        <v>20</v>
      </c>
      <c r="C64" s="9"/>
      <c r="D64" s="85" t="str">
        <f>Table33[[#This Row],[EVENTO 1 PRESC.]]&amp;" + "&amp;Table33[[#This Row],[EVENTO 2 PRESC.]]</f>
        <v xml:space="preserve"> + </v>
      </c>
      <c r="E64" s="85" t="str">
        <f>Table334[[#This Row],[EVENTO 1 PYP]]&amp;" + "&amp;Table334[[#This Row],[EVENTO 2 PYP]]</f>
        <v xml:space="preserve"> + </v>
      </c>
      <c r="F64" s="85" t="str">
        <f>Table3345[[#This Row],[EVENTO 1 MYP]]&amp;" + "&amp;Table3345[[#This Row],[EVENTO 2 MYP]]</f>
        <v xml:space="preserve"> + </v>
      </c>
      <c r="G64" s="85" t="str">
        <f>Table33456[[#This Row],[EVENTO 1 DP]]&amp;" + "&amp;Table33456[[#This Row],[EVENTO 2 DP]]</f>
        <v xml:space="preserve"> + </v>
      </c>
      <c r="H64" s="85"/>
      <c r="I64" s="88"/>
      <c r="J64" s="88"/>
      <c r="K64" s="20"/>
      <c r="L64" s="26"/>
      <c r="M64" s="8"/>
      <c r="N64" s="8"/>
      <c r="O64" s="29"/>
      <c r="P64" s="29"/>
      <c r="Q64" s="29"/>
      <c r="V64" s="1"/>
    </row>
    <row r="65" spans="1:22" ht="24" hidden="1" x14ac:dyDescent="0.2">
      <c r="A65" s="7">
        <v>45901</v>
      </c>
      <c r="B65" s="33">
        <v>1</v>
      </c>
      <c r="C65" s="6"/>
      <c r="D65" s="91" t="str">
        <f>Table33[[#This Row],[EVENTO 1 PRESC.]]&amp;" + "&amp;Table33[[#This Row],[EVENTO 2 PRESC.]]</f>
        <v xml:space="preserve"> + </v>
      </c>
      <c r="E65" s="91" t="str">
        <f>Table334[[#This Row],[EVENTO 1 PYP]]&amp;" + "&amp;Table334[[#This Row],[EVENTO 2 PYP]]</f>
        <v xml:space="preserve"> + </v>
      </c>
      <c r="F65" s="91" t="str">
        <f>Table3345[[#This Row],[EVENTO 1 MYP]]&amp;" + "&amp;Table3345[[#This Row],[EVENTO 2 MYP]]</f>
        <v xml:space="preserve"> + </v>
      </c>
      <c r="G65" s="91" t="str">
        <f>Table33456[[#This Row],[EVENTO 1 DP]]&amp;" + "&amp;Table33456[[#This Row],[EVENTO 2 DP]]</f>
        <v xml:space="preserve"> + </v>
      </c>
      <c r="H65" s="91"/>
      <c r="I65" s="92"/>
      <c r="J65" s="92"/>
      <c r="K65" s="21"/>
      <c r="L65" s="27">
        <f>1+SUM(L56:L62)</f>
        <v>4</v>
      </c>
      <c r="M65" s="5"/>
      <c r="N65" s="5"/>
      <c r="O65" s="29"/>
      <c r="P65" s="29"/>
      <c r="Q65" s="29"/>
      <c r="V65" s="1"/>
    </row>
    <row r="66" spans="1:22" ht="32" hidden="1" x14ac:dyDescent="0.2">
      <c r="A66" s="7">
        <v>45902</v>
      </c>
      <c r="B66" s="33">
        <v>2</v>
      </c>
      <c r="C66" s="6"/>
      <c r="D66" s="91" t="str">
        <f>Table33[[#This Row],[EVENTO 1 PRESC.]]&amp;" + "&amp;Table33[[#This Row],[EVENTO 2 PRESC.]]</f>
        <v xml:space="preserve"> + </v>
      </c>
      <c r="E66" s="91" t="str">
        <f>Table334[[#This Row],[EVENTO 1 PYP]]&amp;" + "&amp;Table334[[#This Row],[EVENTO 2 PYP]]</f>
        <v xml:space="preserve"> + </v>
      </c>
      <c r="F66" s="91" t="str">
        <f>Table3345[[#This Row],[EVENTO 1 MYP]]&amp;" + "&amp;Table3345[[#This Row],[EVENTO 2 MYP]]</f>
        <v xml:space="preserve"> + </v>
      </c>
      <c r="G66" s="91" t="str">
        <f>Table33456[[#This Row],[EVENTO 1 DP]]&amp;" + "&amp;Table33456[[#This Row],[EVENTO 2 DP]]</f>
        <v xml:space="preserve">Aplicación Te Oriento 11 - VIRTUAL 6:00 P.M.  + </v>
      </c>
      <c r="H66" s="91"/>
      <c r="I66" s="92"/>
      <c r="J66" s="92"/>
      <c r="K66" s="21"/>
      <c r="L66" s="27"/>
      <c r="M66" s="5"/>
      <c r="N66" s="5"/>
      <c r="O66" s="29"/>
      <c r="P66" s="29"/>
      <c r="Q66" s="29"/>
      <c r="V66" s="1"/>
    </row>
    <row r="67" spans="1:22" ht="24" hidden="1" x14ac:dyDescent="0.2">
      <c r="A67" s="7">
        <v>45903</v>
      </c>
      <c r="B67" s="33">
        <v>3</v>
      </c>
      <c r="C67" s="6"/>
      <c r="D67" s="91" t="str">
        <f>Table33[[#This Row],[EVENTO 1 PRESC.]]&amp;" + "&amp;Table33[[#This Row],[EVENTO 2 PRESC.]]</f>
        <v xml:space="preserve"> + </v>
      </c>
      <c r="E67" s="91" t="str">
        <f>Table334[[#This Row],[EVENTO 1 PYP]]&amp;" + "&amp;Table334[[#This Row],[EVENTO 2 PYP]]</f>
        <v xml:space="preserve"> + </v>
      </c>
      <c r="F67" s="91" t="str">
        <f>Table3345[[#This Row],[EVENTO 1 MYP]]&amp;" + "&amp;Table3345[[#This Row],[EVENTO 2 MYP]]</f>
        <v xml:space="preserve"> + </v>
      </c>
      <c r="G67" s="91" t="str">
        <f>Table33456[[#This Row],[EVENTO 1 DP]]&amp;" + "&amp;Table33456[[#This Row],[EVENTO 2 DP]]</f>
        <v xml:space="preserve"> + </v>
      </c>
      <c r="H67" s="91"/>
      <c r="I67" s="92"/>
      <c r="J67" s="92"/>
      <c r="K67" s="21"/>
      <c r="L67" s="27"/>
      <c r="M67" s="5"/>
      <c r="N67" s="5"/>
      <c r="O67" s="29"/>
      <c r="P67" s="29"/>
      <c r="Q67" s="29"/>
      <c r="V67" s="1"/>
    </row>
    <row r="68" spans="1:22" ht="64" hidden="1" x14ac:dyDescent="0.2">
      <c r="A68" s="7">
        <v>45904</v>
      </c>
      <c r="B68" s="33">
        <v>4</v>
      </c>
      <c r="C68" s="6" t="s">
        <v>49</v>
      </c>
      <c r="D68" s="91" t="str">
        <f>Table33[[#This Row],[EVENTO 1 PRESC.]]&amp;" + "&amp;Table33[[#This Row],[EVENTO 2 PRESC.]]</f>
        <v xml:space="preserve"> + </v>
      </c>
      <c r="E68" s="91" t="str">
        <f>Table334[[#This Row],[EVENTO 1 PYP]]&amp;" + "&amp;Table334[[#This Row],[EVENTO 2 PYP]]</f>
        <v xml:space="preserve"> + </v>
      </c>
      <c r="F68" s="91" t="str">
        <f>Table3345[[#This Row],[EVENTO 1 MYP]]&amp;" + "&amp;Table3345[[#This Row],[EVENTO 2 MYP]]</f>
        <v xml:space="preserve"> + </v>
      </c>
      <c r="G68" s="91" t="str">
        <f>Table33456[[#This Row],[EVENTO 1 DP]]&amp;" + "&amp;Table33456[[#This Row],[EVENTO 2 DP]]</f>
        <v xml:space="preserve"> + </v>
      </c>
      <c r="H68" s="91"/>
      <c r="I68" s="92" t="s">
        <v>50</v>
      </c>
      <c r="J68" s="92"/>
      <c r="K68" s="21"/>
      <c r="L68" s="27"/>
      <c r="M68" s="5"/>
      <c r="N68" s="5"/>
      <c r="O68" s="29"/>
      <c r="P68" s="29"/>
      <c r="Q68" s="29"/>
      <c r="V68" s="1"/>
    </row>
    <row r="69" spans="1:22" ht="24" hidden="1" x14ac:dyDescent="0.2">
      <c r="A69" s="7">
        <v>45905</v>
      </c>
      <c r="B69" s="24" t="s">
        <v>51</v>
      </c>
      <c r="C69" s="6" t="s">
        <v>52</v>
      </c>
      <c r="D69" s="91" t="str">
        <f>Table33[[#This Row],[EVENTO 1 PRESC.]]&amp;" + "&amp;Table33[[#This Row],[EVENTO 2 PRESC.]]</f>
        <v xml:space="preserve">CIEDI's Birthday  + </v>
      </c>
      <c r="E69" s="91" t="str">
        <f>Table334[[#This Row],[EVENTO 1 PYP]]&amp;" + "&amp;Table334[[#This Row],[EVENTO 2 PYP]]</f>
        <v xml:space="preserve">CIEDI's Birthday  + </v>
      </c>
      <c r="F69" s="91" t="str">
        <f>Table3345[[#This Row],[EVENTO 1 MYP]]&amp;" + "&amp;Table3345[[#This Row],[EVENTO 2 MYP]]</f>
        <v xml:space="preserve"> + </v>
      </c>
      <c r="G69" s="91" t="str">
        <f>Table33456[[#This Row],[EVENTO 1 DP]]&amp;" + "&amp;Table33456[[#This Row],[EVENTO 2 DP]]</f>
        <v xml:space="preserve">Entrada de grado 11  + </v>
      </c>
      <c r="H69" s="91"/>
      <c r="I69" s="92"/>
      <c r="J69" s="92"/>
      <c r="K69" s="21"/>
      <c r="L69" s="27"/>
      <c r="M69" s="5"/>
      <c r="N69" s="5"/>
      <c r="O69" s="29"/>
      <c r="P69" s="29"/>
      <c r="Q69" s="29"/>
      <c r="V69" s="1"/>
    </row>
    <row r="70" spans="1:22" ht="24" hidden="1" x14ac:dyDescent="0.2">
      <c r="A70" s="10">
        <v>45906</v>
      </c>
      <c r="B70" s="23" t="s">
        <v>20</v>
      </c>
      <c r="C70" s="9"/>
      <c r="D70" s="85" t="str">
        <f>Table33[[#This Row],[EVENTO 1 PRESC.]]&amp;" + "&amp;Table33[[#This Row],[EVENTO 2 PRESC.]]</f>
        <v xml:space="preserve"> + </v>
      </c>
      <c r="E70" s="85" t="str">
        <f>Table334[[#This Row],[EVENTO 1 PYP]]&amp;" + "&amp;Table334[[#This Row],[EVENTO 2 PYP]]</f>
        <v xml:space="preserve"> + </v>
      </c>
      <c r="F70" s="85" t="str">
        <f>Table3345[[#This Row],[EVENTO 1 MYP]]&amp;" + "&amp;Table3345[[#This Row],[EVENTO 2 MYP]]</f>
        <v xml:space="preserve"> + </v>
      </c>
      <c r="G70" s="85" t="str">
        <f>Table33456[[#This Row],[EVENTO 1 DP]]&amp;" + "&amp;Table33456[[#This Row],[EVENTO 2 DP]]</f>
        <v xml:space="preserve"> + </v>
      </c>
      <c r="H70" s="85"/>
      <c r="I70" s="88"/>
      <c r="J70" s="88"/>
      <c r="K70" s="20"/>
      <c r="L70" s="26"/>
      <c r="M70" s="8"/>
      <c r="N70" s="8"/>
      <c r="O70" s="29"/>
      <c r="P70" s="29"/>
      <c r="Q70" s="29"/>
      <c r="V70" s="1"/>
    </row>
    <row r="71" spans="1:22" ht="24" hidden="1" x14ac:dyDescent="0.2">
      <c r="A71" s="10">
        <v>45907</v>
      </c>
      <c r="B71" s="23" t="s">
        <v>20</v>
      </c>
      <c r="C71" s="9"/>
      <c r="D71" s="85" t="str">
        <f>Table33[[#This Row],[EVENTO 1 PRESC.]]&amp;" + "&amp;Table33[[#This Row],[EVENTO 2 PRESC.]]</f>
        <v xml:space="preserve"> + </v>
      </c>
      <c r="E71" s="85" t="str">
        <f>Table334[[#This Row],[EVENTO 1 PYP]]&amp;" + "&amp;Table334[[#This Row],[EVENTO 2 PYP]]</f>
        <v xml:space="preserve"> + </v>
      </c>
      <c r="F71" s="85" t="str">
        <f>Table3345[[#This Row],[EVENTO 1 MYP]]&amp;" + "&amp;Table3345[[#This Row],[EVENTO 2 MYP]]</f>
        <v xml:space="preserve"> + </v>
      </c>
      <c r="G71" s="85" t="str">
        <f>Table33456[[#This Row],[EVENTO 1 DP]]&amp;" + "&amp;Table33456[[#This Row],[EVENTO 2 DP]]</f>
        <v xml:space="preserve"> + </v>
      </c>
      <c r="H71" s="85"/>
      <c r="I71" s="88"/>
      <c r="J71" s="88"/>
      <c r="K71" s="20"/>
      <c r="L71" s="26"/>
      <c r="M71" s="8"/>
      <c r="N71" s="8"/>
      <c r="O71" s="29"/>
      <c r="P71" s="29"/>
      <c r="Q71" s="29"/>
      <c r="V71" s="1"/>
    </row>
    <row r="72" spans="1:22" ht="32" hidden="1" x14ac:dyDescent="0.2">
      <c r="A72" s="7">
        <v>45908</v>
      </c>
      <c r="B72" s="33">
        <v>5</v>
      </c>
      <c r="C72" s="6" t="s">
        <v>53</v>
      </c>
      <c r="D72" s="91" t="str">
        <f>Table33[[#This Row],[EVENTO 1 PRESC.]]&amp;" + "&amp;Table33[[#This Row],[EVENTO 2 PRESC.]]</f>
        <v xml:space="preserve">Comités adaptación + </v>
      </c>
      <c r="E72" s="91" t="str">
        <f>Table334[[#This Row],[EVENTO 1 PYP]]&amp;" + "&amp;Table334[[#This Row],[EVENTO 2 PYP]]</f>
        <v xml:space="preserve"> + Hackathon niñas con energía (fecha por confirmar)</v>
      </c>
      <c r="F72" s="91" t="str">
        <f>Table3345[[#This Row],[EVENTO 1 MYP]]&amp;" + "&amp;Table3345[[#This Row],[EVENTO 2 MYP]]</f>
        <v xml:space="preserve"> + </v>
      </c>
      <c r="G72" s="91" t="str">
        <f>Table33456[[#This Row],[EVENTO 1 DP]]&amp;" + "&amp;Table33456[[#This Row],[EVENTO 2 DP]]</f>
        <v xml:space="preserve"> + </v>
      </c>
      <c r="H72" s="91"/>
      <c r="I72" s="92"/>
      <c r="J72" s="92"/>
      <c r="K72" s="21"/>
      <c r="L72" s="27">
        <f>1+SUM(L63:L69)</f>
        <v>5</v>
      </c>
      <c r="M72" s="5"/>
      <c r="N72" s="5"/>
      <c r="O72" s="29"/>
      <c r="P72" s="29"/>
      <c r="Q72" s="29"/>
      <c r="V72" s="1"/>
    </row>
    <row r="73" spans="1:22" ht="32" hidden="1" x14ac:dyDescent="0.2">
      <c r="A73" s="7">
        <v>45909</v>
      </c>
      <c r="B73" s="33">
        <v>6</v>
      </c>
      <c r="C73" s="6"/>
      <c r="D73" s="91" t="str">
        <f>Table33[[#This Row],[EVENTO 1 PRESC.]]&amp;" + "&amp;Table33[[#This Row],[EVENTO 2 PRESC.]]</f>
        <v xml:space="preserve">Comités adaptación + </v>
      </c>
      <c r="E73" s="91" t="str">
        <f>Table334[[#This Row],[EVENTO 1 PYP]]&amp;" + "&amp;Table334[[#This Row],[EVENTO 2 PYP]]</f>
        <v xml:space="preserve"> + CONVOCATORÍA DE PROYECTOS INFOMATRIX</v>
      </c>
      <c r="F73" s="91" t="str">
        <f>Table3345[[#This Row],[EVENTO 1 MYP]]&amp;" + "&amp;Table3345[[#This Row],[EVENTO 2 MYP]]</f>
        <v xml:space="preserve"> + </v>
      </c>
      <c r="G73" s="91" t="str">
        <f>Table33456[[#This Row],[EVENTO 1 DP]]&amp;" + "&amp;Table33456[[#This Row],[EVENTO 2 DP]]</f>
        <v xml:space="preserve"> + </v>
      </c>
      <c r="H73" s="91"/>
      <c r="I73" s="92" t="s">
        <v>54</v>
      </c>
      <c r="J73" s="92"/>
      <c r="K73" s="21">
        <v>3</v>
      </c>
      <c r="L73" s="27"/>
      <c r="M73" s="5"/>
      <c r="N73" s="5"/>
      <c r="O73" s="29"/>
      <c r="P73" s="29"/>
      <c r="Q73" s="29"/>
      <c r="V73" s="1"/>
    </row>
    <row r="74" spans="1:22" ht="80" hidden="1" x14ac:dyDescent="0.2">
      <c r="A74" s="7">
        <v>45910</v>
      </c>
      <c r="B74" s="33">
        <v>1</v>
      </c>
      <c r="C74" s="6"/>
      <c r="D74" s="91" t="str">
        <f>Table33[[#This Row],[EVENTO 1 PRESC.]]&amp;" + "&amp;Table33[[#This Row],[EVENTO 2 PRESC.]]</f>
        <v xml:space="preserve">Swimming Lessons Begin + </v>
      </c>
      <c r="E74" s="91" t="str">
        <f>Table334[[#This Row],[EVENTO 1 PYP]]&amp;" + "&amp;Table334[[#This Row],[EVENTO 2 PYP]]</f>
        <v xml:space="preserve"> + CONVOCATORÍA DE PROYECTOS INFOMATRIX</v>
      </c>
      <c r="F74" s="91" t="str">
        <f>Table3345[[#This Row],[EVENTO 1 MYP]]&amp;" + "&amp;Table3345[[#This Row],[EVENTO 2 MYP]]</f>
        <v xml:space="preserve"> + </v>
      </c>
      <c r="G74" s="91" t="str">
        <f>Table33456[[#This Row],[EVENTO 1 DP]]&amp;" + "&amp;Table33456[[#This Row],[EVENTO 2 DP]]</f>
        <v xml:space="preserve"> + </v>
      </c>
      <c r="H74" s="91"/>
      <c r="I74" s="92" t="s">
        <v>55</v>
      </c>
      <c r="J74" s="92"/>
      <c r="K74" s="21"/>
      <c r="L74" s="27"/>
      <c r="M74" s="5"/>
      <c r="N74" s="5"/>
      <c r="O74" s="29"/>
      <c r="P74" s="29"/>
      <c r="Q74" s="29"/>
      <c r="V74" s="1"/>
    </row>
    <row r="75" spans="1:22" ht="64" hidden="1" x14ac:dyDescent="0.2">
      <c r="A75" s="7">
        <v>45911</v>
      </c>
      <c r="B75" s="33">
        <v>2</v>
      </c>
      <c r="C75" s="6"/>
      <c r="D75" s="91" t="str">
        <f>Table33[[#This Row],[EVENTO 1 PRESC.]]&amp;" + "&amp;Table33[[#This Row],[EVENTO 2 PRESC.]]</f>
        <v xml:space="preserve">Comités adaptación + </v>
      </c>
      <c r="E75" s="91" t="str">
        <f>Table334[[#This Row],[EVENTO 1 PYP]]&amp;" + "&amp;Table334[[#This Row],[EVENTO 2 PYP]]</f>
        <v xml:space="preserve"> + REFORMULACIÓN DE PROYECTOS INFOMATRIX</v>
      </c>
      <c r="F75" s="91" t="str">
        <f>Table3345[[#This Row],[EVENTO 1 MYP]]&amp;" + "&amp;Table3345[[#This Row],[EVENTO 2 MYP]]</f>
        <v>EPC NOVENO VIRTUAL  + OLIMPIADAS COLOMBIANAS DE MATEMÁTICAS "REGIONAL" ANTONIO NARIÑO</v>
      </c>
      <c r="G75" s="91" t="str">
        <f>Table33456[[#This Row],[EVENTO 1 DP]]&amp;" + "&amp;Table33456[[#This Row],[EVENTO 2 DP]]</f>
        <v xml:space="preserve"> + </v>
      </c>
      <c r="H75" s="91"/>
      <c r="I75" s="92"/>
      <c r="J75" s="92"/>
      <c r="K75" s="21"/>
      <c r="L75" s="27"/>
      <c r="M75" s="5"/>
      <c r="N75" s="5"/>
      <c r="O75" s="29"/>
      <c r="P75" s="29"/>
      <c r="Q75" s="29"/>
      <c r="V75" s="1"/>
    </row>
    <row r="76" spans="1:22" ht="24" hidden="1" x14ac:dyDescent="0.2">
      <c r="A76" s="7">
        <v>45912</v>
      </c>
      <c r="B76" s="33">
        <v>3</v>
      </c>
      <c r="C76" s="6"/>
      <c r="D76" s="91" t="str">
        <f>Table33[[#This Row],[EVENTO 1 PRESC.]]&amp;" + "&amp;Table33[[#This Row],[EVENTO 2 PRESC.]]</f>
        <v xml:space="preserve">Comités adaptación + </v>
      </c>
      <c r="E76" s="91" t="str">
        <f>Table334[[#This Row],[EVENTO 1 PYP]]&amp;" + "&amp;Table334[[#This Row],[EVENTO 2 PYP]]</f>
        <v xml:space="preserve">notas parciales + </v>
      </c>
      <c r="F76" s="91" t="str">
        <f>Table3345[[#This Row],[EVENTO 1 MYP]]&amp;" + "&amp;Table3345[[#This Row],[EVENTO 2 MYP]]</f>
        <v xml:space="preserve"> + </v>
      </c>
      <c r="G76" s="91" t="str">
        <f>Table33456[[#This Row],[EVENTO 1 DP]]&amp;" + "&amp;Table33456[[#This Row],[EVENTO 2 DP]]</f>
        <v xml:space="preserve"> + </v>
      </c>
      <c r="H76" s="91"/>
      <c r="I76" s="92"/>
      <c r="J76" s="92"/>
      <c r="K76" s="21"/>
      <c r="L76" s="27"/>
      <c r="M76" s="5"/>
      <c r="N76" s="5"/>
      <c r="O76" s="29"/>
      <c r="P76" s="29"/>
      <c r="Q76" s="29"/>
      <c r="V76" s="1"/>
    </row>
    <row r="77" spans="1:22" ht="24" hidden="1" x14ac:dyDescent="0.2">
      <c r="A77" s="10">
        <v>45913</v>
      </c>
      <c r="B77" s="23" t="s">
        <v>20</v>
      </c>
      <c r="C77" s="9"/>
      <c r="D77" s="85" t="str">
        <f>Table33[[#This Row],[EVENTO 1 PRESC.]]&amp;" + "&amp;Table33[[#This Row],[EVENTO 2 PRESC.]]</f>
        <v xml:space="preserve"> + </v>
      </c>
      <c r="E77" s="85" t="str">
        <f>Table334[[#This Row],[EVENTO 1 PYP]]&amp;" + "&amp;Table334[[#This Row],[EVENTO 2 PYP]]</f>
        <v xml:space="preserve"> + </v>
      </c>
      <c r="F77" s="85" t="str">
        <f>Table3345[[#This Row],[EVENTO 1 MYP]]&amp;" + "&amp;Table3345[[#This Row],[EVENTO 2 MYP]]</f>
        <v xml:space="preserve"> + </v>
      </c>
      <c r="G77" s="85" t="str">
        <f>Table33456[[#This Row],[EVENTO 1 DP]]&amp;" + "&amp;Table33456[[#This Row],[EVENTO 2 DP]]</f>
        <v xml:space="preserve"> + </v>
      </c>
      <c r="H77" s="85"/>
      <c r="I77" s="88"/>
      <c r="J77" s="88"/>
      <c r="K77" s="20"/>
      <c r="L77" s="26"/>
      <c r="M77" s="8"/>
      <c r="N77" s="8"/>
      <c r="O77" s="29"/>
      <c r="P77" s="29"/>
      <c r="Q77" s="29"/>
      <c r="V77" s="1"/>
    </row>
    <row r="78" spans="1:22" ht="24" hidden="1" x14ac:dyDescent="0.2">
      <c r="A78" s="10">
        <v>45914</v>
      </c>
      <c r="B78" s="23" t="s">
        <v>20</v>
      </c>
      <c r="C78" s="9"/>
      <c r="D78" s="85" t="str">
        <f>Table33[[#This Row],[EVENTO 1 PRESC.]]&amp;" + "&amp;Table33[[#This Row],[EVENTO 2 PRESC.]]</f>
        <v xml:space="preserve"> + </v>
      </c>
      <c r="E78" s="85" t="str">
        <f>Table334[[#This Row],[EVENTO 1 PYP]]&amp;" + "&amp;Table334[[#This Row],[EVENTO 2 PYP]]</f>
        <v xml:space="preserve"> + </v>
      </c>
      <c r="F78" s="85" t="str">
        <f>Table3345[[#This Row],[EVENTO 1 MYP]]&amp;" + "&amp;Table3345[[#This Row],[EVENTO 2 MYP]]</f>
        <v xml:space="preserve"> + </v>
      </c>
      <c r="G78" s="85" t="str">
        <f>Table33456[[#This Row],[EVENTO 1 DP]]&amp;" + "&amp;Table33456[[#This Row],[EVENTO 2 DP]]</f>
        <v xml:space="preserve"> + </v>
      </c>
      <c r="H78" s="85"/>
      <c r="I78" s="88"/>
      <c r="J78" s="88"/>
      <c r="K78" s="20"/>
      <c r="L78" s="26"/>
      <c r="M78" s="8"/>
      <c r="N78" s="8"/>
      <c r="O78" s="29"/>
      <c r="P78" s="29"/>
      <c r="Q78" s="29"/>
      <c r="V78" s="1"/>
    </row>
    <row r="79" spans="1:22" ht="24" hidden="1" x14ac:dyDescent="0.2">
      <c r="A79" s="7">
        <v>45915</v>
      </c>
      <c r="B79" s="33">
        <v>4</v>
      </c>
      <c r="C79" s="6"/>
      <c r="D79" s="91" t="str">
        <f>Table33[[#This Row],[EVENTO 1 PRESC.]]&amp;" + "&amp;Table33[[#This Row],[EVENTO 2 PRESC.]]</f>
        <v xml:space="preserve">Evaluation Committees I Bim + </v>
      </c>
      <c r="E79" s="91" t="str">
        <f>Table334[[#This Row],[EVENTO 1 PYP]]&amp;" + "&amp;Table334[[#This Row],[EVENTO 2 PYP]]</f>
        <v xml:space="preserve"> + Evaluation Committees I Bim</v>
      </c>
      <c r="F79" s="91" t="str">
        <f>Table3345[[#This Row],[EVENTO 1 MYP]]&amp;" + "&amp;Table3345[[#This Row],[EVENTO 2 MYP]]</f>
        <v xml:space="preserve"> + </v>
      </c>
      <c r="G79" s="91" t="str">
        <f>Table33456[[#This Row],[EVENTO 1 DP]]&amp;" + "&amp;Table33456[[#This Row],[EVENTO 2 DP]]</f>
        <v xml:space="preserve"> + </v>
      </c>
      <c r="H79" s="91"/>
      <c r="I79" s="92"/>
      <c r="J79" s="92"/>
      <c r="K79" s="21"/>
      <c r="L79" s="27">
        <f>1+SUM(L70:L76)</f>
        <v>6</v>
      </c>
      <c r="M79" s="5"/>
      <c r="N79" s="5"/>
      <c r="O79" s="29"/>
      <c r="P79" s="29"/>
      <c r="Q79" s="29"/>
      <c r="V79" s="1"/>
    </row>
    <row r="80" spans="1:22" ht="32" hidden="1" x14ac:dyDescent="0.2">
      <c r="A80" s="7">
        <v>45916</v>
      </c>
      <c r="B80" s="33">
        <v>5</v>
      </c>
      <c r="C80" s="6"/>
      <c r="D80" s="91" t="str">
        <f>Table33[[#This Row],[EVENTO 1 PRESC.]]&amp;" + "&amp;Table33[[#This Row],[EVENTO 2 PRESC.]]</f>
        <v xml:space="preserve">Evaluation Committees I Bim + </v>
      </c>
      <c r="E80" s="91" t="str">
        <f>Table334[[#This Row],[EVENTO 1 PYP]]&amp;" + "&amp;Table334[[#This Row],[EVENTO 2 PYP]]</f>
        <v xml:space="preserve"> + Evaluation Committees I Bim</v>
      </c>
      <c r="F80" s="91" t="str">
        <f>Table3345[[#This Row],[EVENTO 1 MYP]]&amp;" + "&amp;Table3345[[#This Row],[EVENTO 2 MYP]]</f>
        <v xml:space="preserve"> + </v>
      </c>
      <c r="G80" s="91" t="str">
        <f>Table33456[[#This Row],[EVENTO 1 DP]]&amp;" + "&amp;Table33456[[#This Row],[EVENTO 2 DP]]</f>
        <v xml:space="preserve"> + </v>
      </c>
      <c r="H80" s="91"/>
      <c r="I80" s="92" t="s">
        <v>56</v>
      </c>
      <c r="J80" s="92"/>
      <c r="K80" s="21"/>
      <c r="L80" s="27"/>
      <c r="M80" s="5"/>
      <c r="N80" s="5"/>
      <c r="O80" s="29"/>
      <c r="P80" s="29"/>
      <c r="Q80" s="29"/>
      <c r="V80" s="1"/>
    </row>
    <row r="81" spans="1:22" ht="48" hidden="1" x14ac:dyDescent="0.2">
      <c r="A81" s="7">
        <v>45917</v>
      </c>
      <c r="B81" s="33">
        <v>6</v>
      </c>
      <c r="C81" s="6"/>
      <c r="D81" s="91" t="str">
        <f>Table33[[#This Row],[EVENTO 1 PRESC.]]&amp;" + "&amp;Table33[[#This Row],[EVENTO 2 PRESC.]]</f>
        <v xml:space="preserve">Evaluation Committees I Bim + </v>
      </c>
      <c r="E81" s="91" t="str">
        <f>Table334[[#This Row],[EVENTO 1 PYP]]&amp;" + "&amp;Table334[[#This Row],[EVENTO 2 PYP]]</f>
        <v>EPC TERCERO PRESENCIAL 7:00 A 10:00  + Evaluation Committees I Bim</v>
      </c>
      <c r="F81" s="91" t="str">
        <f>Table3345[[#This Row],[EVENTO 1 MYP]]&amp;" + "&amp;Table3345[[#This Row],[EVENTO 2 MYP]]</f>
        <v xml:space="preserve">EPC SEXTO PRESENCIAL 7- 9:30 + </v>
      </c>
      <c r="G81" s="91" t="str">
        <f>Table33456[[#This Row],[EVENTO 1 DP]]&amp;" + "&amp;Table33456[[#This Row],[EVENTO 2 DP]]</f>
        <v xml:space="preserve"> + </v>
      </c>
      <c r="H81" s="91"/>
      <c r="I81" s="92"/>
      <c r="J81" s="92"/>
      <c r="K81" s="21">
        <v>4</v>
      </c>
      <c r="L81" s="27"/>
      <c r="M81" s="5"/>
      <c r="N81" s="5"/>
      <c r="O81" s="29"/>
      <c r="P81" s="29"/>
      <c r="Q81" s="29"/>
      <c r="V81" s="1"/>
    </row>
    <row r="82" spans="1:22" ht="24" hidden="1" x14ac:dyDescent="0.2">
      <c r="A82" s="7">
        <v>45918</v>
      </c>
      <c r="B82" s="33">
        <v>1</v>
      </c>
      <c r="C82" s="6"/>
      <c r="D82" s="91" t="str">
        <f>Table33[[#This Row],[EVENTO 1 PRESC.]]&amp;" + "&amp;Table33[[#This Row],[EVENTO 2 PRESC.]]</f>
        <v xml:space="preserve">EPC K4 PRESENCIAL 7-10  + </v>
      </c>
      <c r="E82" s="91" t="str">
        <f>Table334[[#This Row],[EVENTO 1 PYP]]&amp;" + "&amp;Table334[[#This Row],[EVENTO 2 PYP]]</f>
        <v xml:space="preserve"> + Evaluation Committees I Bim</v>
      </c>
      <c r="F82" s="91" t="str">
        <f>Table3345[[#This Row],[EVENTO 1 MYP]]&amp;" + "&amp;Table3345[[#This Row],[EVENTO 2 MYP]]</f>
        <v xml:space="preserve"> + </v>
      </c>
      <c r="G82" s="91" t="str">
        <f>Table33456[[#This Row],[EVENTO 1 DP]]&amp;" + "&amp;Table33456[[#This Row],[EVENTO 2 DP]]</f>
        <v xml:space="preserve"> + </v>
      </c>
      <c r="H82" s="91"/>
      <c r="I82" s="92"/>
      <c r="J82" s="92"/>
      <c r="K82" s="21"/>
      <c r="L82" s="27"/>
      <c r="M82" s="5"/>
      <c r="N82" s="5"/>
      <c r="O82" s="29"/>
      <c r="P82" s="29"/>
      <c r="Q82" s="29"/>
      <c r="V82" s="1"/>
    </row>
    <row r="83" spans="1:22" ht="32" hidden="1" x14ac:dyDescent="0.2">
      <c r="A83" s="7">
        <v>45919</v>
      </c>
      <c r="B83" s="33">
        <v>2</v>
      </c>
      <c r="C83" s="6"/>
      <c r="D83" s="91" t="str">
        <f>Table33[[#This Row],[EVENTO 1 PRESC.]]&amp;" + "&amp;Table33[[#This Row],[EVENTO 2 PRESC.]]</f>
        <v xml:space="preserve"> + </v>
      </c>
      <c r="E83" s="91" t="str">
        <f>Table334[[#This Row],[EVENTO 1 PYP]]&amp;" + "&amp;Table334[[#This Row],[EVENTO 2 PYP]]</f>
        <v>Love &amp; Friendship Day + PYPX EXHIBITION STARTING THE JOURNEY</v>
      </c>
      <c r="F83" s="91" t="str">
        <f>Table3345[[#This Row],[EVENTO 1 MYP]]&amp;" + "&amp;Table3345[[#This Row],[EVENTO 2 MYP]]</f>
        <v xml:space="preserve"> + </v>
      </c>
      <c r="G83" s="91" t="str">
        <f>Table33456[[#This Row],[EVENTO 1 DP]]&amp;" + "&amp;Table33456[[#This Row],[EVENTO 2 DP]]</f>
        <v xml:space="preserve"> + </v>
      </c>
      <c r="H83" s="91"/>
      <c r="I83" s="92"/>
      <c r="J83" s="92"/>
      <c r="K83" s="21"/>
      <c r="L83" s="27"/>
      <c r="M83" s="5"/>
      <c r="N83" s="5"/>
      <c r="O83" s="29"/>
      <c r="P83" s="29"/>
      <c r="Q83" s="29"/>
      <c r="V83" s="1"/>
    </row>
    <row r="84" spans="1:22" ht="24" hidden="1" x14ac:dyDescent="0.2">
      <c r="A84" s="10">
        <v>45920</v>
      </c>
      <c r="B84" s="23" t="s">
        <v>20</v>
      </c>
      <c r="C84" s="9"/>
      <c r="D84" s="85" t="str">
        <f>Table33[[#This Row],[EVENTO 1 PRESC.]]&amp;" + "&amp;Table33[[#This Row],[EVENTO 2 PRESC.]]</f>
        <v xml:space="preserve"> + </v>
      </c>
      <c r="E84" s="85" t="str">
        <f>Table334[[#This Row],[EVENTO 1 PYP]]&amp;" + "&amp;Table334[[#This Row],[EVENTO 2 PYP]]</f>
        <v xml:space="preserve"> + </v>
      </c>
      <c r="F84" s="85" t="str">
        <f>Table3345[[#This Row],[EVENTO 1 MYP]]&amp;" + "&amp;Table3345[[#This Row],[EVENTO 2 MYP]]</f>
        <v xml:space="preserve"> + </v>
      </c>
      <c r="G84" s="85" t="str">
        <f>Table33456[[#This Row],[EVENTO 1 DP]]&amp;" + "&amp;Table33456[[#This Row],[EVENTO 2 DP]]</f>
        <v xml:space="preserve"> + </v>
      </c>
      <c r="H84" s="85"/>
      <c r="I84" s="88"/>
      <c r="J84" s="88"/>
      <c r="K84" s="20"/>
      <c r="L84" s="26"/>
      <c r="M84" s="8"/>
      <c r="N84" s="8"/>
      <c r="O84" s="29"/>
      <c r="P84" s="29"/>
      <c r="Q84" s="29"/>
      <c r="V84" s="1"/>
    </row>
    <row r="85" spans="1:22" ht="24" hidden="1" x14ac:dyDescent="0.2">
      <c r="A85" s="10">
        <v>45921</v>
      </c>
      <c r="B85" s="23" t="s">
        <v>20</v>
      </c>
      <c r="C85" s="9"/>
      <c r="D85" s="85" t="str">
        <f>Table33[[#This Row],[EVENTO 1 PRESC.]]&amp;" + "&amp;Table33[[#This Row],[EVENTO 2 PRESC.]]</f>
        <v xml:space="preserve"> + </v>
      </c>
      <c r="E85" s="85" t="str">
        <f>Table334[[#This Row],[EVENTO 1 PYP]]&amp;" + "&amp;Table334[[#This Row],[EVENTO 2 PYP]]</f>
        <v xml:space="preserve"> + </v>
      </c>
      <c r="F85" s="85" t="str">
        <f>Table3345[[#This Row],[EVENTO 1 MYP]]&amp;" + "&amp;Table3345[[#This Row],[EVENTO 2 MYP]]</f>
        <v xml:space="preserve"> + </v>
      </c>
      <c r="G85" s="85" t="str">
        <f>Table33456[[#This Row],[EVENTO 1 DP]]&amp;" + "&amp;Table33456[[#This Row],[EVENTO 2 DP]]</f>
        <v xml:space="preserve"> + </v>
      </c>
      <c r="H85" s="85"/>
      <c r="I85" s="88"/>
      <c r="J85" s="88"/>
      <c r="K85" s="20"/>
      <c r="L85" s="26"/>
      <c r="M85" s="8"/>
      <c r="N85" s="8"/>
      <c r="O85" s="29"/>
      <c r="P85" s="29"/>
      <c r="Q85" s="29"/>
      <c r="V85" s="1"/>
    </row>
    <row r="86" spans="1:22" ht="24" hidden="1" x14ac:dyDescent="0.2">
      <c r="A86" s="7">
        <v>45922</v>
      </c>
      <c r="B86" s="33">
        <v>3</v>
      </c>
      <c r="C86" s="6"/>
      <c r="D86" s="91" t="str">
        <f>Table33[[#This Row],[EVENTO 1 PRESC.]]&amp;" + "&amp;Table33[[#This Row],[EVENTO 2 PRESC.]]</f>
        <v xml:space="preserve"> + </v>
      </c>
      <c r="E86" s="91" t="str">
        <f>Table334[[#This Row],[EVENTO 1 PYP]]&amp;" + "&amp;Table334[[#This Row],[EVENTO 2 PYP]]</f>
        <v xml:space="preserve"> + Comités adaptación</v>
      </c>
      <c r="F86" s="91" t="str">
        <f>Table3345[[#This Row],[EVENTO 1 MYP]]&amp;" + "&amp;Table3345[[#This Row],[EVENTO 2 MYP]]</f>
        <v xml:space="preserve"> + </v>
      </c>
      <c r="G86" s="91" t="str">
        <f>Table33456[[#This Row],[EVENTO 1 DP]]&amp;" + "&amp;Table33456[[#This Row],[EVENTO 2 DP]]</f>
        <v xml:space="preserve"> + </v>
      </c>
      <c r="H86" s="91"/>
      <c r="I86" s="92"/>
      <c r="J86" s="92"/>
      <c r="K86" s="21"/>
      <c r="L86" s="27">
        <f>1+SUM(L77:L83)</f>
        <v>7</v>
      </c>
      <c r="M86" s="5"/>
      <c r="N86" s="5"/>
      <c r="O86" s="29"/>
      <c r="P86" s="29"/>
      <c r="Q86" s="29"/>
      <c r="V86" s="1"/>
    </row>
    <row r="87" spans="1:22" ht="32" hidden="1" x14ac:dyDescent="0.2">
      <c r="A87" s="7">
        <v>45923</v>
      </c>
      <c r="B87" s="33">
        <v>4</v>
      </c>
      <c r="C87" s="6"/>
      <c r="D87" s="91" t="str">
        <f>Table33[[#This Row],[EVENTO 1 PRESC.]]&amp;" + "&amp;Table33[[#This Row],[EVENTO 2 PRESC.]]</f>
        <v xml:space="preserve"> + </v>
      </c>
      <c r="E87" s="91" t="str">
        <f>Table334[[#This Row],[EVENTO 1 PYP]]&amp;" + "&amp;Table334[[#This Row],[EVENTO 2 PYP]]</f>
        <v xml:space="preserve"> + Comités adaptación</v>
      </c>
      <c r="F87" s="91" t="str">
        <f>Table3345[[#This Row],[EVENTO 1 MYP]]&amp;" + "&amp;Table3345[[#This Row],[EVENTO 2 MYP]]</f>
        <v xml:space="preserve">EPC OCTAVO  VIRTUAL  + </v>
      </c>
      <c r="G87" s="91" t="str">
        <f>Table33456[[#This Row],[EVENTO 1 DP]]&amp;" + "&amp;Table33456[[#This Row],[EVENTO 2 DP]]</f>
        <v xml:space="preserve"> + </v>
      </c>
      <c r="H87" s="91"/>
      <c r="I87" s="92" t="s">
        <v>57</v>
      </c>
      <c r="J87" s="92"/>
      <c r="K87" s="21"/>
      <c r="L87" s="27"/>
      <c r="M87" s="5"/>
      <c r="N87" s="5"/>
      <c r="O87" s="29"/>
      <c r="P87" s="29"/>
      <c r="Q87" s="29"/>
      <c r="V87" s="1"/>
    </row>
    <row r="88" spans="1:22" ht="96" hidden="1" x14ac:dyDescent="0.2">
      <c r="A88" s="7">
        <v>45924</v>
      </c>
      <c r="B88" s="33">
        <v>5</v>
      </c>
      <c r="C88" s="6"/>
      <c r="D88" s="91" t="str">
        <f>Table33[[#This Row],[EVENTO 1 PRESC.]]&amp;" + "&amp;Table33[[#This Row],[EVENTO 2 PRESC.]]</f>
        <v xml:space="preserve"> + </v>
      </c>
      <c r="E88" s="91" t="str">
        <f>Table334[[#This Row],[EVENTO 1 PYP]]&amp;" + "&amp;Table334[[#This Row],[EVENTO 2 PYP]]</f>
        <v xml:space="preserve"> + Comités adaptación</v>
      </c>
      <c r="F88" s="91" t="str">
        <f>Table3345[[#This Row],[EVENTO 1 MYP]]&amp;" + "&amp;Table3345[[#This Row],[EVENTO 2 MYP]]</f>
        <v xml:space="preserve"> + </v>
      </c>
      <c r="G88" s="91" t="str">
        <f>Table33456[[#This Row],[EVENTO 1 DP]]&amp;" + "&amp;Table33456[[#This Row],[EVENTO 2 DP]]</f>
        <v xml:space="preserve">EPC DÉCIMO VIRTUAL 6:00 P.M. 7:30 P.M.  + </v>
      </c>
      <c r="H88" s="91"/>
      <c r="I88" s="92" t="s">
        <v>58</v>
      </c>
      <c r="J88" s="92"/>
      <c r="K88" s="21"/>
      <c r="L88" s="27"/>
      <c r="M88" s="5"/>
      <c r="N88" s="5"/>
      <c r="O88" s="29"/>
      <c r="P88" s="29"/>
      <c r="Q88" s="29"/>
      <c r="V88" s="1"/>
    </row>
    <row r="89" spans="1:22" ht="32" hidden="1" x14ac:dyDescent="0.2">
      <c r="A89" s="7">
        <v>45925</v>
      </c>
      <c r="B89" s="33">
        <v>6</v>
      </c>
      <c r="C89" s="6"/>
      <c r="D89" s="91" t="str">
        <f>Table33[[#This Row],[EVENTO 1 PRESC.]]&amp;" + "&amp;Table33[[#This Row],[EVENTO 2 PRESC.]]</f>
        <v xml:space="preserve">EPC TRA Y 1°  VIRTUAL  + </v>
      </c>
      <c r="E89" s="91" t="str">
        <f>Table334[[#This Row],[EVENTO 1 PYP]]&amp;" + "&amp;Table334[[#This Row],[EVENTO 2 PYP]]</f>
        <v>EPC SEGUNDO PRESENCIAL 7-10 a.m.  + Comités adaptación</v>
      </c>
      <c r="F89" s="91" t="str">
        <f>Table3345[[#This Row],[EVENTO 1 MYP]]&amp;" + "&amp;Table3345[[#This Row],[EVENTO 2 MYP]]</f>
        <v xml:space="preserve"> + </v>
      </c>
      <c r="G89" s="91" t="str">
        <f>Table33456[[#This Row],[EVENTO 1 DP]]&amp;" + "&amp;Table33456[[#This Row],[EVENTO 2 DP]]</f>
        <v>GRADOS IB + Mesa de trabajo Musica (lidera Orlando Gomez)</v>
      </c>
      <c r="H89" s="91"/>
      <c r="I89" s="92"/>
      <c r="J89" s="92"/>
      <c r="K89" s="21">
        <v>5</v>
      </c>
      <c r="L89" s="27"/>
      <c r="M89" s="5"/>
      <c r="N89" s="5"/>
      <c r="O89" s="29"/>
      <c r="P89" s="29"/>
      <c r="Q89" s="29"/>
      <c r="V89" s="1"/>
    </row>
    <row r="90" spans="1:22" ht="48" hidden="1" x14ac:dyDescent="0.2">
      <c r="A90" s="7">
        <v>45926</v>
      </c>
      <c r="B90" s="33">
        <v>1</v>
      </c>
      <c r="C90" s="6"/>
      <c r="D90" s="91" t="str">
        <f>Table33[[#This Row],[EVENTO 1 PRESC.]]&amp;" + "&amp;Table33[[#This Row],[EVENTO 2 PRESC.]]</f>
        <v xml:space="preserve">Love &amp; Friendship Day + </v>
      </c>
      <c r="E90" s="91" t="str">
        <f>Table334[[#This Row],[EVENTO 1 PYP]]&amp;" + "&amp;Table334[[#This Row],[EVENTO 2 PYP]]</f>
        <v xml:space="preserve"> + </v>
      </c>
      <c r="F90" s="91" t="str">
        <f>Table3345[[#This Row],[EVENTO 1 MYP]]&amp;" + "&amp;Table3345[[#This Row],[EVENTO 2 MYP]]</f>
        <v xml:space="preserve"> + </v>
      </c>
      <c r="G90" s="91" t="str">
        <f>Table33456[[#This Row],[EVENTO 1 DP]]&amp;" + "&amp;Table33456[[#This Row],[EVENTO 2 DP]]</f>
        <v xml:space="preserve"> + </v>
      </c>
      <c r="H90" s="91"/>
      <c r="I90" s="92"/>
      <c r="J90" s="92" t="s">
        <v>59</v>
      </c>
      <c r="K90" s="21"/>
      <c r="L90" s="27"/>
      <c r="M90" s="5"/>
      <c r="N90" s="5"/>
      <c r="O90" s="29"/>
      <c r="P90" s="29"/>
      <c r="Q90" s="29"/>
      <c r="V90" s="1"/>
    </row>
    <row r="91" spans="1:22" ht="24" hidden="1" x14ac:dyDescent="0.2">
      <c r="A91" s="10">
        <v>45927</v>
      </c>
      <c r="B91" s="23" t="s">
        <v>20</v>
      </c>
      <c r="C91" s="9"/>
      <c r="D91" s="85" t="str">
        <f>Table33[[#This Row],[EVENTO 1 PRESC.]]&amp;" + "&amp;Table33[[#This Row],[EVENTO 2 PRESC.]]</f>
        <v xml:space="preserve"> + </v>
      </c>
      <c r="E91" s="85" t="str">
        <f>Table334[[#This Row],[EVENTO 1 PYP]]&amp;" + "&amp;Table334[[#This Row],[EVENTO 2 PYP]]</f>
        <v xml:space="preserve"> + </v>
      </c>
      <c r="F91" s="85" t="str">
        <f>Table3345[[#This Row],[EVENTO 1 MYP]]&amp;" + "&amp;Table3345[[#This Row],[EVENTO 2 MYP]]</f>
        <v xml:space="preserve"> + </v>
      </c>
      <c r="G91" s="85" t="str">
        <f>Table33456[[#This Row],[EVENTO 1 DP]]&amp;" + "&amp;Table33456[[#This Row],[EVENTO 2 DP]]</f>
        <v xml:space="preserve"> + </v>
      </c>
      <c r="H91" s="85"/>
      <c r="I91" s="88"/>
      <c r="J91" s="88"/>
      <c r="K91" s="20"/>
      <c r="L91" s="26"/>
      <c r="M91" s="8"/>
      <c r="N91" s="8"/>
      <c r="O91" s="29"/>
      <c r="P91" s="29"/>
      <c r="Q91" s="29"/>
      <c r="V91" s="1"/>
    </row>
    <row r="92" spans="1:22" ht="24" hidden="1" x14ac:dyDescent="0.2">
      <c r="A92" s="10">
        <v>45928</v>
      </c>
      <c r="B92" s="23" t="s">
        <v>20</v>
      </c>
      <c r="C92" s="9"/>
      <c r="D92" s="85" t="str">
        <f>Table33[[#This Row],[EVENTO 1 PRESC.]]&amp;" + "&amp;Table33[[#This Row],[EVENTO 2 PRESC.]]</f>
        <v xml:space="preserve"> + </v>
      </c>
      <c r="E92" s="85" t="str">
        <f>Table334[[#This Row],[EVENTO 1 PYP]]&amp;" + "&amp;Table334[[#This Row],[EVENTO 2 PYP]]</f>
        <v xml:space="preserve"> + </v>
      </c>
      <c r="F92" s="85" t="str">
        <f>Table3345[[#This Row],[EVENTO 1 MYP]]&amp;" + "&amp;Table3345[[#This Row],[EVENTO 2 MYP]]</f>
        <v xml:space="preserve"> + </v>
      </c>
      <c r="G92" s="85" t="str">
        <f>Table33456[[#This Row],[EVENTO 1 DP]]&amp;" + "&amp;Table33456[[#This Row],[EVENTO 2 DP]]</f>
        <v xml:space="preserve"> + </v>
      </c>
      <c r="H92" s="85"/>
      <c r="I92" s="88"/>
      <c r="J92" s="88"/>
      <c r="K92" s="20"/>
      <c r="L92" s="26"/>
      <c r="M92" s="8"/>
      <c r="N92" s="8"/>
      <c r="O92" s="29"/>
      <c r="P92" s="29"/>
      <c r="Q92" s="29"/>
      <c r="V92" s="1"/>
    </row>
    <row r="93" spans="1:22" ht="24" hidden="1" x14ac:dyDescent="0.2">
      <c r="A93" s="7">
        <v>45929</v>
      </c>
      <c r="B93" s="33">
        <v>2</v>
      </c>
      <c r="C93" s="6"/>
      <c r="D93" s="91" t="str">
        <f>Table33[[#This Row],[EVENTO 1 PRESC.]]&amp;" + "&amp;Table33[[#This Row],[EVENTO 2 PRESC.]]</f>
        <v xml:space="preserve"> + </v>
      </c>
      <c r="E93" s="91" t="str">
        <f>Table334[[#This Row],[EVENTO 1 PYP]]&amp;" + "&amp;Table334[[#This Row],[EVENTO 2 PYP]]</f>
        <v xml:space="preserve"> + </v>
      </c>
      <c r="F93" s="91" t="str">
        <f>Table3345[[#This Row],[EVENTO 1 MYP]]&amp;" + "&amp;Table3345[[#This Row],[EVENTO 2 MYP]]</f>
        <v xml:space="preserve"> + </v>
      </c>
      <c r="G93" s="91" t="str">
        <f>Table33456[[#This Row],[EVENTO 1 DP]]&amp;" + "&amp;Table33456[[#This Row],[EVENTO 2 DP]]</f>
        <v xml:space="preserve"> + </v>
      </c>
      <c r="H93" s="91"/>
      <c r="I93" s="92"/>
      <c r="J93" s="92"/>
      <c r="K93" s="21"/>
      <c r="L93" s="27">
        <f>1+SUM(L84:L90)</f>
        <v>8</v>
      </c>
      <c r="M93" s="5"/>
      <c r="N93" s="5"/>
      <c r="O93" s="29"/>
      <c r="P93" s="29"/>
      <c r="Q93" s="29"/>
      <c r="V93" s="1"/>
    </row>
    <row r="94" spans="1:22" ht="64" hidden="1" x14ac:dyDescent="0.2">
      <c r="A94" s="7">
        <v>45930</v>
      </c>
      <c r="B94" s="33">
        <v>3</v>
      </c>
      <c r="C94" s="6"/>
      <c r="D94" s="91" t="str">
        <f>Table33[[#This Row],[EVENTO 1 PRESC.]]&amp;" + "&amp;Table33[[#This Row],[EVENTO 2 PRESC.]]</f>
        <v xml:space="preserve"> + </v>
      </c>
      <c r="E94" s="91" t="str">
        <f>Table334[[#This Row],[EVENTO 1 PYP]]&amp;" + "&amp;Table334[[#This Row],[EVENTO 2 PYP]]</f>
        <v xml:space="preserve"> + </v>
      </c>
      <c r="F94" s="91" t="str">
        <f>Table3345[[#This Row],[EVENTO 1 MYP]]&amp;" + "&amp;Table3345[[#This Row],[EVENTO 2 MYP]]</f>
        <v>EPC SÉPTIMO PRESENCIAL 7:00 9:30 + ASAMBLEA PERFIL PENSADORES Y COMUNICADORES A CARGO NOVENO</v>
      </c>
      <c r="G94" s="91" t="str">
        <f>Table33456[[#This Row],[EVENTO 1 DP]]&amp;" + "&amp;Table33456[[#This Row],[EVENTO 2 DP]]</f>
        <v xml:space="preserve"> + </v>
      </c>
      <c r="H94" s="91"/>
      <c r="I94" s="92" t="s">
        <v>60</v>
      </c>
      <c r="J94" s="92"/>
      <c r="K94" s="21"/>
      <c r="L94" s="27"/>
      <c r="M94" s="5"/>
      <c r="N94" s="5"/>
      <c r="O94" s="29"/>
      <c r="P94" s="29"/>
      <c r="Q94" s="29"/>
      <c r="V94" s="1"/>
    </row>
    <row r="95" spans="1:22" ht="32" hidden="1" x14ac:dyDescent="0.2">
      <c r="A95" s="7">
        <v>45931</v>
      </c>
      <c r="B95" s="33">
        <v>4</v>
      </c>
      <c r="C95" s="6"/>
      <c r="D95" s="91" t="str">
        <f>Table33[[#This Row],[EVENTO 1 PRESC.]]&amp;" + "&amp;Table33[[#This Row],[EVENTO 2 PRESC.]]</f>
        <v xml:space="preserve"> + </v>
      </c>
      <c r="E95" s="91" t="str">
        <f>Table334[[#This Row],[EVENTO 1 PYP]]&amp;" + "&amp;Table334[[#This Row],[EVENTO 2 PYP]]</f>
        <v xml:space="preserve">EPC 4° Y 5° VIRTUAL ( papá Tomas Sabogal) + </v>
      </c>
      <c r="F95" s="91" t="str">
        <f>Table3345[[#This Row],[EVENTO 1 MYP]]&amp;" + "&amp;Table3345[[#This Row],[EVENTO 2 MYP]]</f>
        <v xml:space="preserve">Convivencia NOVENO  + </v>
      </c>
      <c r="G95" s="91" t="str">
        <f>Table33456[[#This Row],[EVENTO 1 DP]]&amp;" + "&amp;Table33456[[#This Row],[EVENTO 2 DP]]</f>
        <v xml:space="preserve">EPC ONCE VIRTUAL 6:00 P.M. 7:30 P.M.  + </v>
      </c>
      <c r="H95" s="91"/>
      <c r="I95" s="92"/>
      <c r="J95" s="92"/>
      <c r="K95" s="21"/>
      <c r="L95" s="27"/>
      <c r="M95" s="5"/>
      <c r="N95" s="5"/>
      <c r="O95" s="29"/>
      <c r="P95" s="29"/>
      <c r="Q95" s="29"/>
      <c r="V95" s="1"/>
    </row>
    <row r="96" spans="1:22" ht="112" hidden="1" x14ac:dyDescent="0.2">
      <c r="A96" s="7">
        <v>45932</v>
      </c>
      <c r="B96" s="33">
        <v>5</v>
      </c>
      <c r="C96" s="6"/>
      <c r="D96" s="91" t="str">
        <f>Table33[[#This Row],[EVENTO 1 PRESC.]]&amp;" + "&amp;Table33[[#This Row],[EVENTO 2 PRESC.]]</f>
        <v xml:space="preserve">EPC K5 VIRTUAL  + </v>
      </c>
      <c r="E96" s="91" t="str">
        <f>Table334[[#This Row],[EVENTO 1 PYP]]&amp;" + "&amp;Table334[[#This Row],[EVENTO 2 PYP]]</f>
        <v xml:space="preserve"> + </v>
      </c>
      <c r="F96" s="91" t="str">
        <f>Table3345[[#This Row],[EVENTO 1 MYP]]&amp;" + "&amp;Table3345[[#This Row],[EVENTO 2 MYP]]</f>
        <v xml:space="preserve">   DESAYUNO ENTREGA CERTIFICADOS PROYECTO PERSONALLimite notas - PRIMERA ASAMBLEA PERFILES Y ENTREGA CERTIFICADOS DELF (7° Y 9°) - SELECCIÓN DE ESTUDIANTES DE NOVENO + </v>
      </c>
      <c r="G96" s="91" t="str">
        <f>Table33456[[#This Row],[EVENTO 1 DP]]&amp;" + "&amp;Table33456[[#This Row],[EVENTO 2 DP]]</f>
        <v xml:space="preserve"> + </v>
      </c>
      <c r="H96" s="91"/>
      <c r="I96" s="92"/>
      <c r="J96" s="92"/>
      <c r="K96" s="21"/>
      <c r="L96" s="27"/>
      <c r="M96" s="5"/>
      <c r="N96" s="5"/>
      <c r="O96" s="29"/>
      <c r="P96" s="29"/>
      <c r="Q96" s="29"/>
      <c r="V96" s="1"/>
    </row>
    <row r="97" spans="1:22" ht="24" hidden="1" x14ac:dyDescent="0.2">
      <c r="A97" s="37">
        <v>45933</v>
      </c>
      <c r="B97" s="44">
        <v>6</v>
      </c>
      <c r="C97" s="39" t="s">
        <v>61</v>
      </c>
      <c r="D97" s="95" t="str">
        <f>Table33[[#This Row],[EVENTO 1 PRESC.]]&amp;" + "&amp;Table33[[#This Row],[EVENTO 2 PRESC.]]</f>
        <v xml:space="preserve">Comments draft  + </v>
      </c>
      <c r="E97" s="95" t="str">
        <f>Table334[[#This Row],[EVENTO 1 PYP]]&amp;" + "&amp;Table334[[#This Row],[EVENTO 2 PYP]]</f>
        <v xml:space="preserve"> + </v>
      </c>
      <c r="F97" s="95" t="str">
        <f>Table3345[[#This Row],[EVENTO 1 MYP]]&amp;" + "&amp;Table3345[[#This Row],[EVENTO 2 MYP]]</f>
        <v xml:space="preserve"> + </v>
      </c>
      <c r="G97" s="95" t="str">
        <f>Table33456[[#This Row],[EVENTO 1 DP]]&amp;" + "&amp;Table33456[[#This Row],[EVENTO 2 DP]]</f>
        <v xml:space="preserve"> + </v>
      </c>
      <c r="H97" s="95"/>
      <c r="I97" s="96"/>
      <c r="J97" s="96"/>
      <c r="K97" s="40">
        <v>6</v>
      </c>
      <c r="L97" s="41"/>
      <c r="M97" s="42"/>
      <c r="N97" s="42"/>
      <c r="O97" s="43"/>
      <c r="P97" s="43"/>
      <c r="Q97" s="43"/>
      <c r="V97" s="1"/>
    </row>
    <row r="98" spans="1:22" ht="24" hidden="1" x14ac:dyDescent="0.2">
      <c r="A98" s="10">
        <v>45934</v>
      </c>
      <c r="B98" s="23" t="s">
        <v>62</v>
      </c>
      <c r="C98" s="9"/>
      <c r="D98" s="85" t="str">
        <f>Table33[[#This Row],[EVENTO 1 PRESC.]]&amp;" + "&amp;Table33[[#This Row],[EVENTO 2 PRESC.]]</f>
        <v xml:space="preserve"> + </v>
      </c>
      <c r="E98" s="85" t="str">
        <f>Table334[[#This Row],[EVENTO 1 PYP]]&amp;" + "&amp;Table334[[#This Row],[EVENTO 2 PYP]]</f>
        <v xml:space="preserve"> + </v>
      </c>
      <c r="F98" s="85" t="str">
        <f>Table3345[[#This Row],[EVENTO 1 MYP]]&amp;" + "&amp;Table3345[[#This Row],[EVENTO 2 MYP]]</f>
        <v xml:space="preserve"> + </v>
      </c>
      <c r="G98" s="85" t="str">
        <f>Table33456[[#This Row],[EVENTO 1 DP]]&amp;" + "&amp;Table33456[[#This Row],[EVENTO 2 DP]]</f>
        <v xml:space="preserve"> + </v>
      </c>
      <c r="H98" s="85"/>
      <c r="I98" s="88"/>
      <c r="J98" s="88"/>
      <c r="K98" s="20"/>
      <c r="L98" s="26"/>
      <c r="M98" s="8"/>
      <c r="N98" s="8"/>
      <c r="O98" s="29" t="s">
        <v>63</v>
      </c>
      <c r="P98" s="29" t="s">
        <v>63</v>
      </c>
      <c r="Q98" s="29" t="s">
        <v>63</v>
      </c>
      <c r="V98" s="1"/>
    </row>
    <row r="99" spans="1:22" ht="24" hidden="1" x14ac:dyDescent="0.2">
      <c r="A99" s="10">
        <v>45935</v>
      </c>
      <c r="B99" s="23" t="s">
        <v>62</v>
      </c>
      <c r="C99" s="9"/>
      <c r="D99" s="85" t="str">
        <f>Table33[[#This Row],[EVENTO 1 PRESC.]]&amp;" + "&amp;Table33[[#This Row],[EVENTO 2 PRESC.]]</f>
        <v xml:space="preserve"> + </v>
      </c>
      <c r="E99" s="85" t="str">
        <f>Table334[[#This Row],[EVENTO 1 PYP]]&amp;" + "&amp;Table334[[#This Row],[EVENTO 2 PYP]]</f>
        <v xml:space="preserve"> + </v>
      </c>
      <c r="F99" s="85" t="str">
        <f>Table3345[[#This Row],[EVENTO 1 MYP]]&amp;" + "&amp;Table3345[[#This Row],[EVENTO 2 MYP]]</f>
        <v xml:space="preserve"> + </v>
      </c>
      <c r="G99" s="85" t="str">
        <f>Table33456[[#This Row],[EVENTO 1 DP]]&amp;" + "&amp;Table33456[[#This Row],[EVENTO 2 DP]]</f>
        <v xml:space="preserve"> + </v>
      </c>
      <c r="H99" s="85"/>
      <c r="I99" s="88"/>
      <c r="J99" s="88"/>
      <c r="K99" s="20"/>
      <c r="L99" s="26"/>
      <c r="M99" s="8"/>
      <c r="N99" s="8"/>
      <c r="O99" s="29" t="s">
        <v>63</v>
      </c>
      <c r="P99" s="29" t="s">
        <v>63</v>
      </c>
      <c r="Q99" s="29" t="s">
        <v>63</v>
      </c>
      <c r="V99" s="1"/>
    </row>
    <row r="100" spans="1:22" ht="24" hidden="1" x14ac:dyDescent="0.2">
      <c r="A100" s="10">
        <v>45936</v>
      </c>
      <c r="B100" s="23" t="s">
        <v>62</v>
      </c>
      <c r="C100" s="9"/>
      <c r="D100" s="85" t="str">
        <f>Table33[[#This Row],[EVENTO 1 PRESC.]]&amp;" + "&amp;Table33[[#This Row],[EVENTO 2 PRESC.]]</f>
        <v xml:space="preserve"> + </v>
      </c>
      <c r="E100" s="85" t="str">
        <f>Table334[[#This Row],[EVENTO 1 PYP]]&amp;" + "&amp;Table334[[#This Row],[EVENTO 2 PYP]]</f>
        <v xml:space="preserve"> + </v>
      </c>
      <c r="F100" s="85" t="str">
        <f>Table3345[[#This Row],[EVENTO 1 MYP]]&amp;" + "&amp;Table3345[[#This Row],[EVENTO 2 MYP]]</f>
        <v xml:space="preserve"> + </v>
      </c>
      <c r="G100" s="85" t="str">
        <f>Table33456[[#This Row],[EVENTO 1 DP]]&amp;" + "&amp;Table33456[[#This Row],[EVENTO 2 DP]]</f>
        <v xml:space="preserve"> + </v>
      </c>
      <c r="H100" s="85"/>
      <c r="I100" s="88"/>
      <c r="J100" s="88"/>
      <c r="K100" s="20"/>
      <c r="L100" s="26"/>
      <c r="M100" s="8"/>
      <c r="N100" s="8"/>
      <c r="O100" s="29" t="s">
        <v>63</v>
      </c>
      <c r="P100" s="29" t="s">
        <v>63</v>
      </c>
      <c r="Q100" s="29" t="s">
        <v>63</v>
      </c>
      <c r="V100" s="1"/>
    </row>
    <row r="101" spans="1:22" ht="24" hidden="1" x14ac:dyDescent="0.2">
      <c r="A101" s="10">
        <v>45937</v>
      </c>
      <c r="B101" s="23" t="s">
        <v>62</v>
      </c>
      <c r="C101" s="9"/>
      <c r="D101" s="85" t="str">
        <f>Table33[[#This Row],[EVENTO 1 PRESC.]]&amp;" + "&amp;Table33[[#This Row],[EVENTO 2 PRESC.]]</f>
        <v xml:space="preserve"> + </v>
      </c>
      <c r="E101" s="85" t="str">
        <f>Table334[[#This Row],[EVENTO 1 PYP]]&amp;" + "&amp;Table334[[#This Row],[EVENTO 2 PYP]]</f>
        <v xml:space="preserve"> + </v>
      </c>
      <c r="F101" s="85" t="str">
        <f>Table3345[[#This Row],[EVENTO 1 MYP]]&amp;" + "&amp;Table3345[[#This Row],[EVENTO 2 MYP]]</f>
        <v xml:space="preserve"> + </v>
      </c>
      <c r="G101" s="85" t="str">
        <f>Table33456[[#This Row],[EVENTO 1 DP]]&amp;" + "&amp;Table33456[[#This Row],[EVENTO 2 DP]]</f>
        <v xml:space="preserve"> + </v>
      </c>
      <c r="H101" s="85"/>
      <c r="I101" s="88"/>
      <c r="J101" s="88"/>
      <c r="K101" s="20"/>
      <c r="L101" s="26"/>
      <c r="M101" s="8"/>
      <c r="N101" s="8"/>
      <c r="O101" s="29" t="s">
        <v>63</v>
      </c>
      <c r="P101" s="29" t="s">
        <v>63</v>
      </c>
      <c r="Q101" s="29" t="s">
        <v>63</v>
      </c>
      <c r="V101" s="1"/>
    </row>
    <row r="102" spans="1:22" ht="24" hidden="1" x14ac:dyDescent="0.2">
      <c r="A102" s="10">
        <v>45938</v>
      </c>
      <c r="B102" s="23" t="s">
        <v>62</v>
      </c>
      <c r="C102" s="9"/>
      <c r="D102" s="85" t="str">
        <f>Table33[[#This Row],[EVENTO 1 PRESC.]]&amp;" + "&amp;Table33[[#This Row],[EVENTO 2 PRESC.]]</f>
        <v xml:space="preserve"> + </v>
      </c>
      <c r="E102" s="85" t="str">
        <f>Table334[[#This Row],[EVENTO 1 PYP]]&amp;" + "&amp;Table334[[#This Row],[EVENTO 2 PYP]]</f>
        <v xml:space="preserve"> + </v>
      </c>
      <c r="F102" s="85" t="str">
        <f>Table3345[[#This Row],[EVENTO 1 MYP]]&amp;" + "&amp;Table3345[[#This Row],[EVENTO 2 MYP]]</f>
        <v xml:space="preserve"> + </v>
      </c>
      <c r="G102" s="85" t="str">
        <f>Table33456[[#This Row],[EVENTO 1 DP]]&amp;" + "&amp;Table33456[[#This Row],[EVENTO 2 DP]]</f>
        <v xml:space="preserve"> + </v>
      </c>
      <c r="H102" s="85"/>
      <c r="I102" s="88"/>
      <c r="J102" s="88"/>
      <c r="K102" s="20"/>
      <c r="L102" s="26"/>
      <c r="M102" s="8"/>
      <c r="N102" s="8"/>
      <c r="O102" s="29" t="s">
        <v>63</v>
      </c>
      <c r="P102" s="29" t="s">
        <v>63</v>
      </c>
      <c r="Q102" s="29" t="s">
        <v>63</v>
      </c>
      <c r="V102" s="1"/>
    </row>
    <row r="103" spans="1:22" ht="24" hidden="1" x14ac:dyDescent="0.2">
      <c r="A103" s="10">
        <v>45939</v>
      </c>
      <c r="B103" s="23" t="s">
        <v>62</v>
      </c>
      <c r="C103" s="9"/>
      <c r="D103" s="85" t="str">
        <f>Table33[[#This Row],[EVENTO 1 PRESC.]]&amp;" + "&amp;Table33[[#This Row],[EVENTO 2 PRESC.]]</f>
        <v xml:space="preserve"> + </v>
      </c>
      <c r="E103" s="85" t="str">
        <f>Table334[[#This Row],[EVENTO 1 PYP]]&amp;" + "&amp;Table334[[#This Row],[EVENTO 2 PYP]]</f>
        <v xml:space="preserve"> + </v>
      </c>
      <c r="F103" s="85" t="str">
        <f>Table3345[[#This Row],[EVENTO 1 MYP]]&amp;" + "&amp;Table3345[[#This Row],[EVENTO 2 MYP]]</f>
        <v xml:space="preserve"> + </v>
      </c>
      <c r="G103" s="85" t="str">
        <f>Table33456[[#This Row],[EVENTO 1 DP]]&amp;" + "&amp;Table33456[[#This Row],[EVENTO 2 DP]]</f>
        <v xml:space="preserve"> + </v>
      </c>
      <c r="H103" s="85"/>
      <c r="I103" s="88"/>
      <c r="J103" s="88"/>
      <c r="K103" s="20"/>
      <c r="L103" s="26"/>
      <c r="M103" s="8"/>
      <c r="N103" s="8"/>
      <c r="O103" s="29" t="s">
        <v>63</v>
      </c>
      <c r="P103" s="29" t="s">
        <v>63</v>
      </c>
      <c r="Q103" s="29" t="s">
        <v>63</v>
      </c>
      <c r="V103" s="1"/>
    </row>
    <row r="104" spans="1:22" ht="24" hidden="1" x14ac:dyDescent="0.2">
      <c r="A104" s="10">
        <v>45940</v>
      </c>
      <c r="B104" s="23" t="s">
        <v>62</v>
      </c>
      <c r="C104" s="9"/>
      <c r="D104" s="85" t="str">
        <f>Table33[[#This Row],[EVENTO 1 PRESC.]]&amp;" + "&amp;Table33[[#This Row],[EVENTO 2 PRESC.]]</f>
        <v xml:space="preserve"> + </v>
      </c>
      <c r="E104" s="85" t="str">
        <f>Table334[[#This Row],[EVENTO 1 PYP]]&amp;" + "&amp;Table334[[#This Row],[EVENTO 2 PYP]]</f>
        <v xml:space="preserve"> + </v>
      </c>
      <c r="F104" s="85" t="str">
        <f>Table3345[[#This Row],[EVENTO 1 MYP]]&amp;" + "&amp;Table3345[[#This Row],[EVENTO 2 MYP]]</f>
        <v xml:space="preserve"> + </v>
      </c>
      <c r="G104" s="85" t="str">
        <f>Table33456[[#This Row],[EVENTO 1 DP]]&amp;" + "&amp;Table33456[[#This Row],[EVENTO 2 DP]]</f>
        <v xml:space="preserve"> + </v>
      </c>
      <c r="H104" s="85"/>
      <c r="I104" s="88"/>
      <c r="J104" s="88"/>
      <c r="K104" s="20"/>
      <c r="L104" s="26"/>
      <c r="M104" s="8"/>
      <c r="N104" s="8"/>
      <c r="O104" s="29" t="s">
        <v>63</v>
      </c>
      <c r="P104" s="29" t="s">
        <v>63</v>
      </c>
      <c r="Q104" s="29" t="s">
        <v>63</v>
      </c>
      <c r="V104" s="1"/>
    </row>
    <row r="105" spans="1:22" ht="24" hidden="1" x14ac:dyDescent="0.2">
      <c r="A105" s="10">
        <v>45941</v>
      </c>
      <c r="B105" s="23" t="s">
        <v>62</v>
      </c>
      <c r="C105" s="9"/>
      <c r="D105" s="85" t="str">
        <f>Table33[[#This Row],[EVENTO 1 PRESC.]]&amp;" + "&amp;Table33[[#This Row],[EVENTO 2 PRESC.]]</f>
        <v xml:space="preserve"> + </v>
      </c>
      <c r="E105" s="85" t="str">
        <f>Table334[[#This Row],[EVENTO 1 PYP]]&amp;" + "&amp;Table334[[#This Row],[EVENTO 2 PYP]]</f>
        <v xml:space="preserve"> + </v>
      </c>
      <c r="F105" s="85" t="str">
        <f>Table3345[[#This Row],[EVENTO 1 MYP]]&amp;" + "&amp;Table3345[[#This Row],[EVENTO 2 MYP]]</f>
        <v xml:space="preserve"> + </v>
      </c>
      <c r="G105" s="85" t="str">
        <f>Table33456[[#This Row],[EVENTO 1 DP]]&amp;" + "&amp;Table33456[[#This Row],[EVENTO 2 DP]]</f>
        <v xml:space="preserve"> + </v>
      </c>
      <c r="H105" s="85"/>
      <c r="I105" s="88"/>
      <c r="J105" s="88"/>
      <c r="K105" s="20"/>
      <c r="L105" s="26"/>
      <c r="M105" s="8"/>
      <c r="N105" s="8"/>
      <c r="O105" s="29" t="s">
        <v>63</v>
      </c>
      <c r="P105" s="29" t="s">
        <v>63</v>
      </c>
      <c r="Q105" s="29" t="s">
        <v>63</v>
      </c>
      <c r="V105" s="1"/>
    </row>
    <row r="106" spans="1:22" ht="24" hidden="1" x14ac:dyDescent="0.2">
      <c r="A106" s="10">
        <v>45942</v>
      </c>
      <c r="B106" s="23" t="s">
        <v>62</v>
      </c>
      <c r="C106" s="9"/>
      <c r="D106" s="85" t="str">
        <f>Table33[[#This Row],[EVENTO 1 PRESC.]]&amp;" + "&amp;Table33[[#This Row],[EVENTO 2 PRESC.]]</f>
        <v xml:space="preserve"> + </v>
      </c>
      <c r="E106" s="85" t="str">
        <f>Table334[[#This Row],[EVENTO 1 PYP]]&amp;" + "&amp;Table334[[#This Row],[EVENTO 2 PYP]]</f>
        <v xml:space="preserve"> + </v>
      </c>
      <c r="F106" s="85" t="str">
        <f>Table3345[[#This Row],[EVENTO 1 MYP]]&amp;" + "&amp;Table3345[[#This Row],[EVENTO 2 MYP]]</f>
        <v xml:space="preserve"> + </v>
      </c>
      <c r="G106" s="85" t="str">
        <f>Table33456[[#This Row],[EVENTO 1 DP]]&amp;" + "&amp;Table33456[[#This Row],[EVENTO 2 DP]]</f>
        <v xml:space="preserve"> + </v>
      </c>
      <c r="H106" s="85"/>
      <c r="I106" s="88"/>
      <c r="J106" s="88"/>
      <c r="K106" s="20"/>
      <c r="L106" s="26"/>
      <c r="M106" s="8"/>
      <c r="N106" s="8"/>
      <c r="O106" s="29" t="s">
        <v>63</v>
      </c>
      <c r="P106" s="29" t="s">
        <v>63</v>
      </c>
      <c r="Q106" s="29" t="s">
        <v>63</v>
      </c>
      <c r="V106" s="1"/>
    </row>
    <row r="107" spans="1:22" ht="24" hidden="1" x14ac:dyDescent="0.2">
      <c r="A107" s="10">
        <v>45943</v>
      </c>
      <c r="B107" s="23" t="s">
        <v>17</v>
      </c>
      <c r="C107" s="9"/>
      <c r="D107" s="85" t="str">
        <f>Table33[[#This Row],[EVENTO 1 PRESC.]]&amp;" + "&amp;Table33[[#This Row],[EVENTO 2 PRESC.]]</f>
        <v xml:space="preserve"> + </v>
      </c>
      <c r="E107" s="85" t="str">
        <f>Table334[[#This Row],[EVENTO 1 PYP]]&amp;" + "&amp;Table334[[#This Row],[EVENTO 2 PYP]]</f>
        <v xml:space="preserve"> + </v>
      </c>
      <c r="F107" s="85" t="str">
        <f>Table3345[[#This Row],[EVENTO 1 MYP]]&amp;" + "&amp;Table3345[[#This Row],[EVENTO 2 MYP]]</f>
        <v xml:space="preserve"> + </v>
      </c>
      <c r="G107" s="85" t="str">
        <f>Table33456[[#This Row],[EVENTO 1 DP]]&amp;" + "&amp;Table33456[[#This Row],[EVENTO 2 DP]]</f>
        <v xml:space="preserve"> + </v>
      </c>
      <c r="H107" s="85"/>
      <c r="I107" s="88"/>
      <c r="J107" s="88"/>
      <c r="K107" s="20"/>
      <c r="L107" s="26"/>
      <c r="M107" s="8"/>
      <c r="N107" s="8"/>
      <c r="O107" s="29" t="s">
        <v>63</v>
      </c>
      <c r="P107" s="29" t="s">
        <v>63</v>
      </c>
      <c r="Q107" s="29" t="s">
        <v>63</v>
      </c>
      <c r="V107" s="1"/>
    </row>
    <row r="108" spans="1:22" ht="24" hidden="1" x14ac:dyDescent="0.2">
      <c r="A108" s="17">
        <v>45944</v>
      </c>
      <c r="B108" s="25" t="s">
        <v>64</v>
      </c>
      <c r="C108" s="18"/>
      <c r="D108" s="97" t="str">
        <f>Table33[[#This Row],[EVENTO 1 PRESC.]]&amp;" + "&amp;Table33[[#This Row],[EVENTO 2 PRESC.]]</f>
        <v xml:space="preserve"> + </v>
      </c>
      <c r="E108" s="97" t="str">
        <f>Table334[[#This Row],[EVENTO 1 PYP]]&amp;" + "&amp;Table334[[#This Row],[EVENTO 2 PYP]]</f>
        <v xml:space="preserve"> + </v>
      </c>
      <c r="F108" s="97" t="str">
        <f>Table3345[[#This Row],[EVENTO 1 MYP]]&amp;" + "&amp;Table3345[[#This Row],[EVENTO 2 MYP]]</f>
        <v xml:space="preserve"> + </v>
      </c>
      <c r="G108" s="97" t="str">
        <f>Table33456[[#This Row],[EVENTO 1 DP]]&amp;" + "&amp;Table33456[[#This Row],[EVENTO 2 DP]]</f>
        <v xml:space="preserve"> + </v>
      </c>
      <c r="H108" s="97"/>
      <c r="I108" s="98"/>
      <c r="J108" s="98"/>
      <c r="K108" s="22"/>
      <c r="L108" s="28"/>
      <c r="M108" s="19"/>
      <c r="N108" s="19"/>
      <c r="O108" s="29" t="s">
        <v>65</v>
      </c>
      <c r="P108" s="29" t="s">
        <v>66</v>
      </c>
      <c r="Q108" s="29" t="s">
        <v>66</v>
      </c>
      <c r="V108" s="1"/>
    </row>
    <row r="109" spans="1:22" ht="24" hidden="1" x14ac:dyDescent="0.2">
      <c r="A109" s="7">
        <v>45945</v>
      </c>
      <c r="B109" s="33">
        <v>1</v>
      </c>
      <c r="C109" s="6"/>
      <c r="D109" s="91" t="str">
        <f>Table33[[#This Row],[EVENTO 1 PRESC.]]&amp;" + "&amp;Table33[[#This Row],[EVENTO 2 PRESC.]]</f>
        <v xml:space="preserve"> + </v>
      </c>
      <c r="E109" s="91" t="str">
        <f>Table334[[#This Row],[EVENTO 1 PYP]]&amp;" + "&amp;Table334[[#This Row],[EVENTO 2 PYP]]</f>
        <v xml:space="preserve"> + </v>
      </c>
      <c r="F109" s="91" t="str">
        <f>Table3345[[#This Row],[EVENTO 1 MYP]]&amp;" + "&amp;Table3345[[#This Row],[EVENTO 2 MYP]]</f>
        <v xml:space="preserve"> + </v>
      </c>
      <c r="G109" s="91" t="str">
        <f>Table33456[[#This Row],[EVENTO 1 DP]]&amp;" + "&amp;Table33456[[#This Row],[EVENTO 2 DP]]</f>
        <v xml:space="preserve"> + </v>
      </c>
      <c r="H109" s="91"/>
      <c r="I109" s="92"/>
      <c r="J109" s="92"/>
      <c r="K109" s="21"/>
      <c r="L109" s="27">
        <f>1+SUM(L92:L98)</f>
        <v>9</v>
      </c>
      <c r="M109" s="5"/>
      <c r="N109" s="5"/>
      <c r="O109" s="29" t="s">
        <v>66</v>
      </c>
      <c r="P109" s="29"/>
      <c r="Q109" s="29"/>
      <c r="V109" s="1"/>
    </row>
    <row r="110" spans="1:22" ht="48" hidden="1" x14ac:dyDescent="0.2">
      <c r="A110" s="7">
        <v>45946</v>
      </c>
      <c r="B110" s="33">
        <v>2</v>
      </c>
      <c r="C110" s="6"/>
      <c r="D110" s="91" t="str">
        <f>Table33[[#This Row],[EVENTO 1 PRESC.]]&amp;" + "&amp;Table33[[#This Row],[EVENTO 2 PRESC.]]</f>
        <v xml:space="preserve"> + </v>
      </c>
      <c r="E110" s="91" t="str">
        <f>Table334[[#This Row],[EVENTO 1 PYP]]&amp;" + "&amp;Table334[[#This Row],[EVENTO 2 PYP]]</f>
        <v xml:space="preserve"> + </v>
      </c>
      <c r="F110" s="91" t="str">
        <f>Table3345[[#This Row],[EVENTO 1 MYP]]&amp;" + "&amp;Table3345[[#This Row],[EVENTO 2 MYP]]</f>
        <v>Limite comentarios + Charla para padres de familia 9° Consentidos III presencial 7:30 a 9:00</v>
      </c>
      <c r="G110" s="91" t="str">
        <f>Table33456[[#This Row],[EVENTO 1 DP]]&amp;" + "&amp;Table33456[[#This Row],[EVENTO 2 DP]]</f>
        <v xml:space="preserve"> + </v>
      </c>
      <c r="H110" s="91"/>
      <c r="I110" s="92"/>
      <c r="J110" s="92"/>
      <c r="K110" s="21"/>
      <c r="L110" s="27"/>
      <c r="M110" s="5"/>
      <c r="N110" s="5"/>
      <c r="O110" s="29"/>
      <c r="P110" s="29"/>
      <c r="Q110" s="29"/>
      <c r="V110" s="1"/>
    </row>
    <row r="111" spans="1:22" ht="64" hidden="1" x14ac:dyDescent="0.2">
      <c r="A111" s="7">
        <v>45947</v>
      </c>
      <c r="B111" s="33">
        <v>3</v>
      </c>
      <c r="C111" s="6"/>
      <c r="D111" s="91" t="str">
        <f>Table33[[#This Row],[EVENTO 1 PRESC.]]&amp;" + "&amp;Table33[[#This Row],[EVENTO 2 PRESC.]]</f>
        <v xml:space="preserve">Grades and Comments on Phidias + </v>
      </c>
      <c r="E111" s="91" t="str">
        <f>Table334[[#This Row],[EVENTO 1 PYP]]&amp;" + "&amp;Table334[[#This Row],[EVENTO 2 PYP]]</f>
        <v xml:space="preserve">Grades and Comments on Phidias + </v>
      </c>
      <c r="F111" s="91" t="str">
        <f>Table3345[[#This Row],[EVENTO 1 MYP]]&amp;" + "&amp;Table3345[[#This Row],[EVENTO 2 MYP]]</f>
        <v>CONVIVENCIA COMFIRMACIÓN + OLIMPIADAS COLOMBIANAS DE MATEMÁTICAS "REGIONAL" ANTONIO NARIÑO -SELECTIVA</v>
      </c>
      <c r="G111" s="91" t="str">
        <f>Table33456[[#This Row],[EVENTO 1 DP]]&amp;" + "&amp;Table33456[[#This Row],[EVENTO 2 DP]]</f>
        <v xml:space="preserve"> + </v>
      </c>
      <c r="H111" s="91"/>
      <c r="I111" s="92"/>
      <c r="J111" s="92"/>
      <c r="K111" s="21"/>
      <c r="L111" s="27"/>
      <c r="M111" s="5"/>
      <c r="N111" s="5"/>
      <c r="O111" s="29"/>
      <c r="P111" s="29"/>
      <c r="Q111" s="29"/>
      <c r="V111" s="1"/>
    </row>
    <row r="112" spans="1:22" ht="24" hidden="1" x14ac:dyDescent="0.2">
      <c r="A112" s="10">
        <v>45948</v>
      </c>
      <c r="B112" s="23" t="s">
        <v>20</v>
      </c>
      <c r="C112" s="9"/>
      <c r="D112" s="85" t="str">
        <f>Table33[[#This Row],[EVENTO 1 PRESC.]]&amp;" + "&amp;Table33[[#This Row],[EVENTO 2 PRESC.]]</f>
        <v xml:space="preserve"> + </v>
      </c>
      <c r="E112" s="85" t="str">
        <f>Table334[[#This Row],[EVENTO 1 PYP]]&amp;" + "&amp;Table334[[#This Row],[EVENTO 2 PYP]]</f>
        <v xml:space="preserve"> + </v>
      </c>
      <c r="F112" s="85" t="str">
        <f>Table3345[[#This Row],[EVENTO 1 MYP]]&amp;" + "&amp;Table3345[[#This Row],[EVENTO 2 MYP]]</f>
        <v xml:space="preserve"> + </v>
      </c>
      <c r="G112" s="85" t="str">
        <f>Table33456[[#This Row],[EVENTO 1 DP]]&amp;" + "&amp;Table33456[[#This Row],[EVENTO 2 DP]]</f>
        <v xml:space="preserve"> + </v>
      </c>
      <c r="H112" s="85"/>
      <c r="I112" s="88"/>
      <c r="J112" s="88"/>
      <c r="K112" s="20"/>
      <c r="L112" s="26"/>
      <c r="M112" s="8"/>
      <c r="N112" s="8"/>
      <c r="O112" s="29"/>
      <c r="P112" s="29"/>
      <c r="Q112" s="29"/>
      <c r="V112" s="1"/>
    </row>
    <row r="113" spans="1:22" ht="24" hidden="1" x14ac:dyDescent="0.2">
      <c r="A113" s="10">
        <v>45949</v>
      </c>
      <c r="B113" s="23" t="s">
        <v>20</v>
      </c>
      <c r="C113" s="9"/>
      <c r="D113" s="85" t="str">
        <f>Table33[[#This Row],[EVENTO 1 PRESC.]]&amp;" + "&amp;Table33[[#This Row],[EVENTO 2 PRESC.]]</f>
        <v xml:space="preserve"> + </v>
      </c>
      <c r="E113" s="85" t="str">
        <f>Table334[[#This Row],[EVENTO 1 PYP]]&amp;" + "&amp;Table334[[#This Row],[EVENTO 2 PYP]]</f>
        <v xml:space="preserve"> + </v>
      </c>
      <c r="F113" s="85" t="str">
        <f>Table3345[[#This Row],[EVENTO 1 MYP]]&amp;" + "&amp;Table3345[[#This Row],[EVENTO 2 MYP]]</f>
        <v xml:space="preserve"> + </v>
      </c>
      <c r="G113" s="85" t="str">
        <f>Table33456[[#This Row],[EVENTO 1 DP]]&amp;" + "&amp;Table33456[[#This Row],[EVENTO 2 DP]]</f>
        <v xml:space="preserve"> + </v>
      </c>
      <c r="H113" s="85"/>
      <c r="I113" s="88"/>
      <c r="J113" s="88"/>
      <c r="K113" s="20"/>
      <c r="L113" s="26"/>
      <c r="M113" s="8"/>
      <c r="N113" s="8"/>
      <c r="O113" s="29"/>
      <c r="P113" s="29"/>
      <c r="Q113" s="29"/>
      <c r="V113" s="1"/>
    </row>
    <row r="114" spans="1:22" ht="64" hidden="1" x14ac:dyDescent="0.2">
      <c r="A114" s="7">
        <v>45950</v>
      </c>
      <c r="B114" s="33">
        <v>4</v>
      </c>
      <c r="C114" s="6"/>
      <c r="D114" s="91" t="str">
        <f>Table33[[#This Row],[EVENTO 1 PRESC.]]&amp;" + "&amp;Table33[[#This Row],[EVENTO 2 PRESC.]]</f>
        <v xml:space="preserve">APLICACIÓN ENCUESTA CLIMA ESCOLAR  + </v>
      </c>
      <c r="E114" s="91" t="str">
        <f>Table334[[#This Row],[EVENTO 1 PYP]]&amp;" + "&amp;Table334[[#This Row],[EVENTO 2 PYP]]</f>
        <v xml:space="preserve">APLICACIÓN ENCUESTA CLIMA ESCOLAR  + Charla para padres de familia Consentidos I virtual 6:00 a 7:30 </v>
      </c>
      <c r="F114" s="91" t="str">
        <f>Table3345[[#This Row],[EVENTO 1 MYP]]&amp;" + "&amp;Table3345[[#This Row],[EVENTO 2 MYP]]</f>
        <v>APLICACIÓN ENCUESTA CLIMA ESCOLAR  + MISA DE SEXTO Y SÉPTIMO</v>
      </c>
      <c r="G114" s="91" t="str">
        <f>Table33456[[#This Row],[EVENTO 1 DP]]&amp;" + "&amp;Table33456[[#This Row],[EVENTO 2 DP]]</f>
        <v xml:space="preserve">APLICACIÓN ENCUESTA CLIMA ESCOLAR  + </v>
      </c>
      <c r="H114" s="91"/>
      <c r="I114" s="92"/>
      <c r="J114" s="92"/>
      <c r="K114" s="21"/>
      <c r="L114" s="27">
        <f>1+SUM(L105:L111)</f>
        <v>10</v>
      </c>
      <c r="M114" s="5"/>
      <c r="N114" s="5"/>
      <c r="O114" s="29"/>
      <c r="P114" s="29"/>
      <c r="Q114" s="29"/>
      <c r="V114" s="1"/>
    </row>
    <row r="115" spans="1:22" ht="80" hidden="1" x14ac:dyDescent="0.2">
      <c r="A115" s="7">
        <v>45951</v>
      </c>
      <c r="B115" s="33">
        <v>5</v>
      </c>
      <c r="C115" s="6"/>
      <c r="D115" s="91" t="str">
        <f>Table33[[#This Row],[EVENTO 1 PRESC.]]&amp;" + "&amp;Table33[[#This Row],[EVENTO 2 PRESC.]]</f>
        <v>APLICACIÓN ENCUESTA CLIMA ESCOLAR  + Entregas Especiales I Bim</v>
      </c>
      <c r="E115" s="91" t="str">
        <f>Table334[[#This Row],[EVENTO 1 PYP]]&amp;" + "&amp;Table334[[#This Row],[EVENTO 2 PYP]]</f>
        <v>APLICACIÓN ENCUESTA CLIMA ESCOLAR  + Entregas Especiales I Bim</v>
      </c>
      <c r="F115" s="91" t="str">
        <f>Table3345[[#This Row],[EVENTO 1 MYP]]&amp;" + "&amp;Table3345[[#This Row],[EVENTO 2 MYP]]</f>
        <v>APLICACIÓN ENCUESTA CLIMA ESCOLAR  + DELF - SÉPTIMO Y NOVENO?/ Charla para padres de familia 6° Consentidos Refuerzo I VIRTUAL DE 6:00 A 7:30 P.M.</v>
      </c>
      <c r="G115" s="91" t="str">
        <f>Table33456[[#This Row],[EVENTO 1 DP]]&amp;" + "&amp;Table33456[[#This Row],[EVENTO 2 DP]]</f>
        <v xml:space="preserve">APLICACIÓN ENCUESTA CLIMA ESCOLAR  + </v>
      </c>
      <c r="H115" s="91"/>
      <c r="I115" s="92" t="s">
        <v>67</v>
      </c>
      <c r="J115" s="92"/>
      <c r="K115" s="21"/>
      <c r="L115" s="27"/>
      <c r="M115" s="5"/>
      <c r="N115" s="5"/>
      <c r="O115" s="29"/>
      <c r="P115" s="29"/>
      <c r="Q115" s="29"/>
      <c r="V115" s="1"/>
    </row>
    <row r="116" spans="1:22" ht="80" hidden="1" x14ac:dyDescent="0.2">
      <c r="A116" s="7">
        <v>45952</v>
      </c>
      <c r="B116" s="33">
        <v>6</v>
      </c>
      <c r="C116" s="6"/>
      <c r="D116" s="91" t="str">
        <f>Table33[[#This Row],[EVENTO 1 PRESC.]]&amp;" + "&amp;Table33[[#This Row],[EVENTO 2 PRESC.]]</f>
        <v>APLICACIÓN ENCUESTA CLIMA ESCOLAR  + Entregas Especiales I Bim</v>
      </c>
      <c r="E116" s="91" t="str">
        <f>Table334[[#This Row],[EVENTO 1 PYP]]&amp;" + "&amp;Table334[[#This Row],[EVENTO 2 PYP]]</f>
        <v>APLICACIÓN ENCUESTA CLIMA ESCOLAR  + Entregas Especiales I Bim</v>
      </c>
      <c r="F116" s="91" t="str">
        <f>Table3345[[#This Row],[EVENTO 1 MYP]]&amp;" + "&amp;Table3345[[#This Row],[EVENTO 2 MYP]]</f>
        <v>APLICACIÓN ENCUESTA CLIMA ESCOLAR  + Preparación entrega de informes tripartita/ Charla para padres de familia 7° Consentidos II VIRTUAL 6:00 A 7:30 P.M.</v>
      </c>
      <c r="G116" s="91" t="str">
        <f>Table33456[[#This Row],[EVENTO 1 DP]]&amp;" + "&amp;Table33456[[#This Row],[EVENTO 2 DP]]</f>
        <v xml:space="preserve">APLICACIÓN ENCUESTA CLIMA ESCOLAR / CONVIVENCIA DÉCIMO  + </v>
      </c>
      <c r="H116" s="91"/>
      <c r="I116" s="92"/>
      <c r="J116" s="92"/>
      <c r="K116" s="21">
        <v>7</v>
      </c>
      <c r="L116" s="27"/>
      <c r="M116" s="5"/>
      <c r="N116" s="5"/>
      <c r="O116" s="29"/>
      <c r="P116" s="29"/>
      <c r="Q116" s="29"/>
      <c r="V116" s="1"/>
    </row>
    <row r="117" spans="1:22" ht="64" hidden="1" x14ac:dyDescent="0.2">
      <c r="A117" s="7">
        <v>45953</v>
      </c>
      <c r="B117" s="33">
        <v>1</v>
      </c>
      <c r="C117" s="6"/>
      <c r="D117" s="91" t="str">
        <f>Table33[[#This Row],[EVENTO 1 PRESC.]]&amp;" + "&amp;Table33[[#This Row],[EVENTO 2 PRESC.]]</f>
        <v>APLICACIÓN ENCUESTA CLIMA ESCOLAR  + Entregas Especiales I Bim</v>
      </c>
      <c r="E117" s="91" t="str">
        <f>Table334[[#This Row],[EVENTO 1 PYP]]&amp;" + "&amp;Table334[[#This Row],[EVENTO 2 PYP]]</f>
        <v>APLICACIÓN ENCUESTA CLIMA ESCOLAR  + Entregas Especiales I Bim</v>
      </c>
      <c r="F117" s="91" t="str">
        <f>Table3345[[#This Row],[EVENTO 1 MYP]]&amp;" + "&amp;Table3345[[#This Row],[EVENTO 2 MYP]]</f>
        <v>APLICACIÓN ENCUESTA CLIMA ESCOLAR  + Charla para padres de familia 8° Refuerzo II VIRTUAL 6:00 A 7:30</v>
      </c>
      <c r="G117" s="91" t="str">
        <f>Table33456[[#This Row],[EVENTO 1 DP]]&amp;" + "&amp;Table33456[[#This Row],[EVENTO 2 DP]]</f>
        <v xml:space="preserve">APLICACIÓN ENCUESTA CLIMA ESCOLAR  + </v>
      </c>
      <c r="H117" s="91"/>
      <c r="I117" s="92"/>
      <c r="J117" s="92" t="s">
        <v>68</v>
      </c>
      <c r="K117" s="21"/>
      <c r="L117" s="27"/>
      <c r="M117" s="5"/>
      <c r="N117" s="5"/>
      <c r="O117" s="29"/>
      <c r="P117" s="29"/>
      <c r="Q117" s="29"/>
      <c r="V117" s="1"/>
    </row>
    <row r="118" spans="1:22" ht="48" hidden="1" x14ac:dyDescent="0.2">
      <c r="A118" s="46">
        <v>45954</v>
      </c>
      <c r="B118" s="47" t="s">
        <v>51</v>
      </c>
      <c r="C118" s="45" t="s">
        <v>69</v>
      </c>
      <c r="D118" s="99" t="str">
        <f>Table33[[#This Row],[EVENTO 1 PRESC.]]&amp;" + "&amp;Table33[[#This Row],[EVENTO 2 PRESC.]]</f>
        <v xml:space="preserve"> + ENTREGA DE NOTAS</v>
      </c>
      <c r="E118" s="99" t="str">
        <f>Table334[[#This Row],[EVENTO 1 PYP]]&amp;" + "&amp;Table334[[#This Row],[EVENTO 2 PYP]]</f>
        <v xml:space="preserve">ENTREGA DE NOTAS TERM I + </v>
      </c>
      <c r="F118" s="99" t="str">
        <f>Table3345[[#This Row],[EVENTO 1 MYP]]&amp;" + "&amp;Table3345[[#This Row],[EVENTO 2 MYP]]</f>
        <v xml:space="preserve"> + </v>
      </c>
      <c r="G118" s="99" t="str">
        <f>Table33456[[#This Row],[EVENTO 1 DP]]&amp;" + "&amp;Table33456[[#This Row],[EVENTO 2 DP]]</f>
        <v xml:space="preserve"> + </v>
      </c>
      <c r="H118" s="99"/>
      <c r="I118" s="100"/>
      <c r="J118" s="100" t="s">
        <v>68</v>
      </c>
      <c r="K118" s="48"/>
      <c r="L118" s="49"/>
      <c r="M118" s="50"/>
      <c r="N118" s="50"/>
      <c r="O118" s="51"/>
      <c r="P118" s="51"/>
      <c r="Q118" s="51"/>
      <c r="V118" s="1"/>
    </row>
    <row r="119" spans="1:22" ht="48" hidden="1" x14ac:dyDescent="0.2">
      <c r="A119" s="10">
        <v>45955</v>
      </c>
      <c r="B119" s="23" t="s">
        <v>20</v>
      </c>
      <c r="C119" s="9"/>
      <c r="D119" s="85" t="str">
        <f>Table33[[#This Row],[EVENTO 1 PRESC.]]&amp;" + "&amp;Table33[[#This Row],[EVENTO 2 PRESC.]]</f>
        <v xml:space="preserve"> + </v>
      </c>
      <c r="E119" s="85" t="str">
        <f>Table334[[#This Row],[EVENTO 1 PYP]]&amp;" + "&amp;Table334[[#This Row],[EVENTO 2 PYP]]</f>
        <v xml:space="preserve"> + </v>
      </c>
      <c r="F119" s="85" t="str">
        <f>Table3345[[#This Row],[EVENTO 1 MYP]]&amp;" + "&amp;Table3345[[#This Row],[EVENTO 2 MYP]]</f>
        <v xml:space="preserve"> + </v>
      </c>
      <c r="G119" s="85" t="str">
        <f>Table33456[[#This Row],[EVENTO 1 DP]]&amp;" + "&amp;Table33456[[#This Row],[EVENTO 2 DP]]</f>
        <v xml:space="preserve"> + </v>
      </c>
      <c r="H119" s="85"/>
      <c r="I119" s="88"/>
      <c r="J119" s="88" t="s">
        <v>68</v>
      </c>
      <c r="K119" s="20"/>
      <c r="L119" s="26"/>
      <c r="M119" s="8"/>
      <c r="N119" s="8"/>
      <c r="O119" s="29"/>
      <c r="P119" s="29"/>
      <c r="Q119" s="29"/>
      <c r="V119" s="1"/>
    </row>
    <row r="120" spans="1:22" ht="24" hidden="1" x14ac:dyDescent="0.2">
      <c r="A120" s="10">
        <v>45956</v>
      </c>
      <c r="B120" s="23" t="s">
        <v>20</v>
      </c>
      <c r="C120" s="9"/>
      <c r="D120" s="85" t="str">
        <f>Table33[[#This Row],[EVENTO 1 PRESC.]]&amp;" + "&amp;Table33[[#This Row],[EVENTO 2 PRESC.]]</f>
        <v xml:space="preserve"> + </v>
      </c>
      <c r="E120" s="85" t="str">
        <f>Table334[[#This Row],[EVENTO 1 PYP]]&amp;" + "&amp;Table334[[#This Row],[EVENTO 2 PYP]]</f>
        <v xml:space="preserve"> + </v>
      </c>
      <c r="F120" s="85" t="str">
        <f>Table3345[[#This Row],[EVENTO 1 MYP]]&amp;" + "&amp;Table3345[[#This Row],[EVENTO 2 MYP]]</f>
        <v xml:space="preserve"> + </v>
      </c>
      <c r="G120" s="85" t="str">
        <f>Table33456[[#This Row],[EVENTO 1 DP]]&amp;" + "&amp;Table33456[[#This Row],[EVENTO 2 DP]]</f>
        <v xml:space="preserve"> + </v>
      </c>
      <c r="H120" s="85"/>
      <c r="I120" s="88"/>
      <c r="J120" s="88"/>
      <c r="K120" s="20"/>
      <c r="L120" s="26"/>
      <c r="M120" s="8"/>
      <c r="N120" s="8"/>
      <c r="O120" s="29"/>
      <c r="P120" s="29"/>
      <c r="Q120" s="29"/>
      <c r="V120" s="1"/>
    </row>
    <row r="121" spans="1:22" ht="24" hidden="1" x14ac:dyDescent="0.2">
      <c r="A121" s="7">
        <v>45957</v>
      </c>
      <c r="B121" s="33">
        <v>2</v>
      </c>
      <c r="C121" s="6"/>
      <c r="D121" s="91" t="str">
        <f>Table33[[#This Row],[EVENTO 1 PRESC.]]&amp;" + "&amp;Table33[[#This Row],[EVENTO 2 PRESC.]]</f>
        <v xml:space="preserve"> + </v>
      </c>
      <c r="E121" s="91" t="str">
        <f>Table334[[#This Row],[EVENTO 1 PYP]]&amp;" + "&amp;Table334[[#This Row],[EVENTO 2 PYP]]</f>
        <v xml:space="preserve"> + </v>
      </c>
      <c r="F121" s="91" t="str">
        <f>Table3345[[#This Row],[EVENTO 1 MYP]]&amp;" + "&amp;Table3345[[#This Row],[EVENTO 2 MYP]]</f>
        <v xml:space="preserve"> + </v>
      </c>
      <c r="G121" s="91" t="str">
        <f>Table33456[[#This Row],[EVENTO 1 DP]]&amp;" + "&amp;Table33456[[#This Row],[EVENTO 2 DP]]</f>
        <v xml:space="preserve"> + </v>
      </c>
      <c r="H121" s="91"/>
      <c r="I121" s="92"/>
      <c r="J121" s="92"/>
      <c r="K121" s="21"/>
      <c r="L121" s="27">
        <f>1+SUM(L112:L118)</f>
        <v>11</v>
      </c>
      <c r="M121" s="5"/>
      <c r="N121" s="5"/>
      <c r="O121" s="29"/>
      <c r="P121" s="29"/>
      <c r="Q121" s="29"/>
      <c r="V121" s="1"/>
    </row>
    <row r="122" spans="1:22" ht="48" hidden="1" x14ac:dyDescent="0.2">
      <c r="A122" s="7">
        <v>45958</v>
      </c>
      <c r="B122" s="33">
        <v>3</v>
      </c>
      <c r="C122" s="6"/>
      <c r="D122" s="91" t="str">
        <f>Table33[[#This Row],[EVENTO 1 PRESC.]]&amp;" + "&amp;Table33[[#This Row],[EVENTO 2 PRESC.]]</f>
        <v xml:space="preserve">CONVIVENCIA K4 + </v>
      </c>
      <c r="E122" s="91" t="str">
        <f>Table334[[#This Row],[EVENTO 1 PYP]]&amp;" + "&amp;Table334[[#This Row],[EVENTO 2 PYP]]</f>
        <v xml:space="preserve">JORNADA DE MARTES TRABAJO BIPRODEHU RESULTADOS ENCUESTA CLIMA ESCOLAR  + </v>
      </c>
      <c r="F122" s="91" t="str">
        <f>Table3345[[#This Row],[EVENTO 1 MYP]]&amp;" + "&amp;Table3345[[#This Row],[EVENTO 2 MYP]]</f>
        <v xml:space="preserve">JORNADA DE MARTES TRABAJO BIPRODEHU RESULTADOS ENCUESTA CLIMA ESCOLAR  + </v>
      </c>
      <c r="G122" s="91" t="str">
        <f>Table33456[[#This Row],[EVENTO 1 DP]]&amp;" + "&amp;Table33456[[#This Row],[EVENTO 2 DP]]</f>
        <v xml:space="preserve">JORNADA DE MARTES BIPRODEHU RESULTADOS ENCUESTA CLIMA ESCOLAR  + </v>
      </c>
      <c r="H122" s="91"/>
      <c r="I122" s="92" t="s">
        <v>70</v>
      </c>
      <c r="J122" s="92"/>
      <c r="K122" s="21"/>
      <c r="L122" s="27"/>
      <c r="M122" s="5"/>
      <c r="N122" s="5"/>
      <c r="O122" s="29"/>
      <c r="P122" s="29"/>
      <c r="Q122" s="29"/>
      <c r="V122" s="1"/>
    </row>
    <row r="123" spans="1:22" ht="24" hidden="1" x14ac:dyDescent="0.2">
      <c r="A123" s="7">
        <v>45959</v>
      </c>
      <c r="B123" s="33">
        <v>4</v>
      </c>
      <c r="C123" s="6"/>
      <c r="D123" s="91" t="str">
        <f>Table33[[#This Row],[EVENTO 1 PRESC.]]&amp;" + "&amp;Table33[[#This Row],[EVENTO 2 PRESC.]]</f>
        <v xml:space="preserve"> + </v>
      </c>
      <c r="E123" s="91" t="str">
        <f>Table334[[#This Row],[EVENTO 1 PYP]]&amp;" + "&amp;Table334[[#This Row],[EVENTO 2 PYP]]</f>
        <v xml:space="preserve">CONVIVENCIA SEGUNDO  + </v>
      </c>
      <c r="F123" s="91" t="str">
        <f>Table3345[[#This Row],[EVENTO 1 MYP]]&amp;" + "&amp;Table3345[[#This Row],[EVENTO 2 MYP]]</f>
        <v xml:space="preserve"> + </v>
      </c>
      <c r="G123" s="91" t="str">
        <f>Table33456[[#This Row],[EVENTO 1 DP]]&amp;" + "&amp;Table33456[[#This Row],[EVENTO 2 DP]]</f>
        <v xml:space="preserve"> + </v>
      </c>
      <c r="H123" s="91"/>
      <c r="I123" s="92"/>
      <c r="J123" s="92"/>
      <c r="K123" s="21"/>
      <c r="L123" s="27"/>
      <c r="M123" s="5"/>
      <c r="N123" s="5"/>
      <c r="O123" s="29"/>
      <c r="P123" s="29"/>
      <c r="Q123" s="29"/>
      <c r="V123" s="1"/>
    </row>
    <row r="124" spans="1:22" ht="48" hidden="1" x14ac:dyDescent="0.2">
      <c r="A124" s="7">
        <v>45960</v>
      </c>
      <c r="B124" s="33">
        <v>5</v>
      </c>
      <c r="C124" s="6"/>
      <c r="D124" s="91" t="str">
        <f>Table33[[#This Row],[EVENTO 1 PRESC.]]&amp;" + "&amp;Table33[[#This Row],[EVENTO 2 PRESC.]]</f>
        <v xml:space="preserve">IB Learner Profile Assembly (Knowledgeable &amp; Communicators) + </v>
      </c>
      <c r="E124" s="91" t="str">
        <f>Table334[[#This Row],[EVENTO 1 PYP]]&amp;" + "&amp;Table334[[#This Row],[EVENTO 2 PYP]]</f>
        <v xml:space="preserve">IB Learner Profile Assembly (Knowledgeable &amp; Communicators) + </v>
      </c>
      <c r="F124" s="91" t="str">
        <f>Table3345[[#This Row],[EVENTO 1 MYP]]&amp;" + "&amp;Table3345[[#This Row],[EVENTO 2 MYP]]</f>
        <v>CONVIVENCIA SEXTO  + MISA DE OCTAVO Y NOVENO</v>
      </c>
      <c r="G124" s="91" t="str">
        <f>Table33456[[#This Row],[EVENTO 1 DP]]&amp;" + "&amp;Table33456[[#This Row],[EVENTO 2 DP]]</f>
        <v xml:space="preserve"> + </v>
      </c>
      <c r="H124" s="91"/>
      <c r="I124" s="92"/>
      <c r="J124" s="92"/>
      <c r="K124" s="21"/>
      <c r="L124" s="27"/>
      <c r="M124" s="5"/>
      <c r="N124" s="5"/>
      <c r="O124" s="29"/>
      <c r="P124" s="29"/>
      <c r="Q124" s="29"/>
      <c r="V124" s="1"/>
    </row>
    <row r="125" spans="1:22" ht="24" hidden="1" x14ac:dyDescent="0.2">
      <c r="A125" s="7">
        <v>45961</v>
      </c>
      <c r="B125" s="33">
        <v>6</v>
      </c>
      <c r="C125" s="6" t="s">
        <v>71</v>
      </c>
      <c r="D125" s="91" t="str">
        <f>Table33[[#This Row],[EVENTO 1 PRESC.]]&amp;" + "&amp;Table33[[#This Row],[EVENTO 2 PRESC.]]</f>
        <v xml:space="preserve">Children's Day  + </v>
      </c>
      <c r="E125" s="91" t="str">
        <f>Table334[[#This Row],[EVENTO 1 PYP]]&amp;" + "&amp;Table334[[#This Row],[EVENTO 2 PYP]]</f>
        <v xml:space="preserve">Children's Day  + </v>
      </c>
      <c r="F125" s="91" t="str">
        <f>Table3345[[#This Row],[EVENTO 1 MYP]]&amp;" + "&amp;Table3345[[#This Row],[EVENTO 2 MYP]]</f>
        <v xml:space="preserve"> + </v>
      </c>
      <c r="G125" s="91" t="str">
        <f>Table33456[[#This Row],[EVENTO 1 DP]]&amp;" + "&amp;Table33456[[#This Row],[EVENTO 2 DP]]</f>
        <v xml:space="preserve"> + </v>
      </c>
      <c r="H125" s="91"/>
      <c r="I125" s="92"/>
      <c r="J125" s="92"/>
      <c r="K125" s="21">
        <v>8</v>
      </c>
      <c r="L125" s="27"/>
      <c r="M125" s="5"/>
      <c r="N125" s="5"/>
      <c r="O125" s="29"/>
      <c r="P125" s="29"/>
      <c r="Q125" s="29"/>
      <c r="V125" s="1"/>
    </row>
    <row r="126" spans="1:22" ht="24" hidden="1" x14ac:dyDescent="0.2">
      <c r="A126" s="10">
        <v>45962</v>
      </c>
      <c r="B126" s="23" t="s">
        <v>20</v>
      </c>
      <c r="C126" s="9"/>
      <c r="D126" s="85" t="str">
        <f>Table33[[#This Row],[EVENTO 1 PRESC.]]&amp;" + "&amp;Table33[[#This Row],[EVENTO 2 PRESC.]]</f>
        <v xml:space="preserve"> + </v>
      </c>
      <c r="E126" s="85" t="str">
        <f>Table334[[#This Row],[EVENTO 1 PYP]]&amp;" + "&amp;Table334[[#This Row],[EVENTO 2 PYP]]</f>
        <v xml:space="preserve"> + </v>
      </c>
      <c r="F126" s="85" t="str">
        <f>Table3345[[#This Row],[EVENTO 1 MYP]]&amp;" + "&amp;Table3345[[#This Row],[EVENTO 2 MYP]]</f>
        <v xml:space="preserve"> + </v>
      </c>
      <c r="G126" s="85" t="str">
        <f>Table33456[[#This Row],[EVENTO 1 DP]]&amp;" + "&amp;Table33456[[#This Row],[EVENTO 2 DP]]</f>
        <v xml:space="preserve"> + </v>
      </c>
      <c r="H126" s="85"/>
      <c r="I126" s="88"/>
      <c r="J126" s="88"/>
      <c r="K126" s="20"/>
      <c r="L126" s="26"/>
      <c r="M126" s="8"/>
      <c r="N126" s="8"/>
      <c r="O126" s="29"/>
      <c r="P126" s="29"/>
      <c r="Q126" s="29"/>
      <c r="V126" s="1"/>
    </row>
    <row r="127" spans="1:22" ht="24" hidden="1" x14ac:dyDescent="0.2">
      <c r="A127" s="10">
        <v>45963</v>
      </c>
      <c r="B127" s="23" t="s">
        <v>20</v>
      </c>
      <c r="C127" s="9"/>
      <c r="D127" s="85" t="str">
        <f>Table33[[#This Row],[EVENTO 1 PRESC.]]&amp;" + "&amp;Table33[[#This Row],[EVENTO 2 PRESC.]]</f>
        <v xml:space="preserve"> + </v>
      </c>
      <c r="E127" s="85" t="str">
        <f>Table334[[#This Row],[EVENTO 1 PYP]]&amp;" + "&amp;Table334[[#This Row],[EVENTO 2 PYP]]</f>
        <v xml:space="preserve"> + </v>
      </c>
      <c r="F127" s="85" t="str">
        <f>Table3345[[#This Row],[EVENTO 1 MYP]]&amp;" + "&amp;Table3345[[#This Row],[EVENTO 2 MYP]]</f>
        <v xml:space="preserve"> + </v>
      </c>
      <c r="G127" s="85" t="str">
        <f>Table33456[[#This Row],[EVENTO 1 DP]]&amp;" + "&amp;Table33456[[#This Row],[EVENTO 2 DP]]</f>
        <v xml:space="preserve"> + </v>
      </c>
      <c r="H127" s="85"/>
      <c r="I127" s="88"/>
      <c r="J127" s="88"/>
      <c r="K127" s="20"/>
      <c r="L127" s="26"/>
      <c r="M127" s="8"/>
      <c r="N127" s="8"/>
      <c r="O127" s="29"/>
      <c r="P127" s="29"/>
      <c r="Q127" s="29"/>
      <c r="V127" s="1"/>
    </row>
    <row r="128" spans="1:22" ht="24" hidden="1" x14ac:dyDescent="0.2">
      <c r="A128" s="10">
        <v>45964</v>
      </c>
      <c r="B128" s="23" t="s">
        <v>17</v>
      </c>
      <c r="C128" s="9"/>
      <c r="D128" s="85" t="str">
        <f>Table33[[#This Row],[EVENTO 1 PRESC.]]&amp;" + "&amp;Table33[[#This Row],[EVENTO 2 PRESC.]]</f>
        <v xml:space="preserve"> + </v>
      </c>
      <c r="E128" s="85" t="str">
        <f>Table334[[#This Row],[EVENTO 1 PYP]]&amp;" + "&amp;Table334[[#This Row],[EVENTO 2 PYP]]</f>
        <v xml:space="preserve"> + </v>
      </c>
      <c r="F128" s="85" t="str">
        <f>Table3345[[#This Row],[EVENTO 1 MYP]]&amp;" + "&amp;Table3345[[#This Row],[EVENTO 2 MYP]]</f>
        <v xml:space="preserve"> + </v>
      </c>
      <c r="G128" s="85" t="str">
        <f>Table33456[[#This Row],[EVENTO 1 DP]]&amp;" + "&amp;Table33456[[#This Row],[EVENTO 2 DP]]</f>
        <v xml:space="preserve"> + </v>
      </c>
      <c r="H128" s="85"/>
      <c r="I128" s="88"/>
      <c r="J128" s="88"/>
      <c r="K128" s="20"/>
      <c r="L128" s="26"/>
      <c r="M128" s="8"/>
      <c r="N128" s="8"/>
      <c r="O128" s="29"/>
      <c r="P128" s="29"/>
      <c r="Q128" s="29"/>
      <c r="V128" s="1"/>
    </row>
    <row r="129" spans="1:22" ht="32" hidden="1" x14ac:dyDescent="0.2">
      <c r="A129" s="7">
        <v>45965</v>
      </c>
      <c r="B129" s="33">
        <v>1</v>
      </c>
      <c r="C129" s="6"/>
      <c r="D129" s="91" t="str">
        <f>Table33[[#This Row],[EVENTO 1 PRESC.]]&amp;" + "&amp;Table33[[#This Row],[EVENTO 2 PRESC.]]</f>
        <v xml:space="preserve">JORNADA DE TRABAJO BIPRODEHU E.C. + </v>
      </c>
      <c r="E129" s="91" t="str">
        <f>Table334[[#This Row],[EVENTO 1 PYP]]&amp;" + "&amp;Table334[[#This Row],[EVENTO 2 PYP]]</f>
        <v xml:space="preserve"> + </v>
      </c>
      <c r="F129" s="91" t="str">
        <f>Table3345[[#This Row],[EVENTO 1 MYP]]&amp;" + "&amp;Table3345[[#This Row],[EVENTO 2 MYP]]</f>
        <v xml:space="preserve">CONVIVENCIA OCTAVO + </v>
      </c>
      <c r="G129" s="91" t="str">
        <f>Table33456[[#This Row],[EVENTO 1 DP]]&amp;" + "&amp;Table33456[[#This Row],[EVENTO 2 DP]]</f>
        <v xml:space="preserve"> + </v>
      </c>
      <c r="H129" s="91"/>
      <c r="I129" s="92"/>
      <c r="J129" s="92"/>
      <c r="K129" s="21"/>
      <c r="L129" s="27">
        <f>1+SUM(L120:L126)</f>
        <v>12</v>
      </c>
      <c r="M129" s="5"/>
      <c r="N129" s="5"/>
      <c r="O129" s="29"/>
      <c r="P129" s="29"/>
      <c r="Q129" s="29"/>
      <c r="V129" s="1"/>
    </row>
    <row r="130" spans="1:22" ht="24" hidden="1" x14ac:dyDescent="0.2">
      <c r="A130" s="7">
        <v>45966</v>
      </c>
      <c r="B130" s="33">
        <v>2</v>
      </c>
      <c r="C130" s="6"/>
      <c r="D130" s="91" t="str">
        <f>Table33[[#This Row],[EVENTO 1 PRESC.]]&amp;" + "&amp;Table33[[#This Row],[EVENTO 2 PRESC.]]</f>
        <v xml:space="preserve"> + </v>
      </c>
      <c r="E130" s="91" t="str">
        <f>Table334[[#This Row],[EVENTO 1 PYP]]&amp;" + "&amp;Table334[[#This Row],[EVENTO 2 PYP]]</f>
        <v xml:space="preserve">CONVIVENCIA TERCERO  + </v>
      </c>
      <c r="F130" s="91" t="str">
        <f>Table3345[[#This Row],[EVENTO 1 MYP]]&amp;" + "&amp;Table3345[[#This Row],[EVENTO 2 MYP]]</f>
        <v xml:space="preserve"> + INFOMATRIX</v>
      </c>
      <c r="G130" s="91" t="str">
        <f>Table33456[[#This Row],[EVENTO 1 DP]]&amp;" + "&amp;Table33456[[#This Row],[EVENTO 2 DP]]</f>
        <v xml:space="preserve"> + </v>
      </c>
      <c r="H130" s="91"/>
      <c r="I130" s="92"/>
      <c r="J130" s="92"/>
      <c r="K130" s="21"/>
      <c r="L130" s="27"/>
      <c r="M130" s="5"/>
      <c r="N130" s="5"/>
      <c r="O130" s="29"/>
      <c r="P130" s="29"/>
      <c r="Q130" s="29"/>
      <c r="V130" s="1"/>
    </row>
    <row r="131" spans="1:22" ht="24" hidden="1" x14ac:dyDescent="0.2">
      <c r="A131" s="7">
        <v>45967</v>
      </c>
      <c r="B131" s="33">
        <v>3</v>
      </c>
      <c r="C131" s="6"/>
      <c r="D131" s="91" t="str">
        <f>Table33[[#This Row],[EVENTO 1 PRESC.]]&amp;" + "&amp;Table33[[#This Row],[EVENTO 2 PRESC.]]</f>
        <v xml:space="preserve">CONVIVENCIA K5 + </v>
      </c>
      <c r="E131" s="91" t="str">
        <f>Table334[[#This Row],[EVENTO 1 PYP]]&amp;" + "&amp;Table334[[#This Row],[EVENTO 2 PYP]]</f>
        <v xml:space="preserve"> + </v>
      </c>
      <c r="F131" s="91" t="str">
        <f>Table3345[[#This Row],[EVENTO 1 MYP]]&amp;" + "&amp;Table3345[[#This Row],[EVENTO 2 MYP]]</f>
        <v xml:space="preserve"> + INFOMATRIX</v>
      </c>
      <c r="G131" s="91" t="str">
        <f>Table33456[[#This Row],[EVENTO 1 DP]]&amp;" + "&amp;Table33456[[#This Row],[EVENTO 2 DP]]</f>
        <v xml:space="preserve"> + </v>
      </c>
      <c r="H131" s="91"/>
      <c r="I131" s="92"/>
      <c r="J131" s="92"/>
      <c r="K131" s="21"/>
      <c r="L131" s="27"/>
      <c r="M131" s="5"/>
      <c r="N131" s="5"/>
      <c r="O131" s="29"/>
      <c r="P131" s="29"/>
      <c r="Q131" s="29"/>
      <c r="V131" s="1"/>
    </row>
    <row r="132" spans="1:22" ht="32" hidden="1" x14ac:dyDescent="0.2">
      <c r="A132" s="7">
        <v>45968</v>
      </c>
      <c r="B132" s="33">
        <v>4</v>
      </c>
      <c r="C132" s="6"/>
      <c r="D132" s="91" t="str">
        <f>Table33[[#This Row],[EVENTO 1 PRESC.]]&amp;" + "&amp;Table33[[#This Row],[EVENTO 2 PRESC.]]</f>
        <v xml:space="preserve"> + </v>
      </c>
      <c r="E132" s="91" t="str">
        <f>Table334[[#This Row],[EVENTO 1 PYP]]&amp;" + "&amp;Table334[[#This Row],[EVENTO 2 PYP]]</f>
        <v xml:space="preserve"> + </v>
      </c>
      <c r="F132" s="91" t="str">
        <f>Table3345[[#This Row],[EVENTO 1 MYP]]&amp;" + "&amp;Table3345[[#This Row],[EVENTO 2 MYP]]</f>
        <v>DÍA INTERNACIONAL STEM + INFOMATRIX</v>
      </c>
      <c r="G132" s="91" t="str">
        <f>Table33456[[#This Row],[EVENTO 1 DP]]&amp;" + "&amp;Table33456[[#This Row],[EVENTO 2 DP]]</f>
        <v xml:space="preserve"> + </v>
      </c>
      <c r="H132" s="91"/>
      <c r="I132" s="92"/>
      <c r="J132" s="92"/>
      <c r="K132" s="21"/>
      <c r="L132" s="27"/>
      <c r="M132" s="5"/>
      <c r="N132" s="5"/>
      <c r="O132" s="29"/>
      <c r="P132" s="29"/>
      <c r="Q132" s="29"/>
      <c r="V132" s="1"/>
    </row>
    <row r="133" spans="1:22" ht="24" hidden="1" x14ac:dyDescent="0.2">
      <c r="A133" s="10">
        <v>45969</v>
      </c>
      <c r="B133" s="23" t="s">
        <v>20</v>
      </c>
      <c r="C133" s="9"/>
      <c r="D133" s="85" t="str">
        <f>Table33[[#This Row],[EVENTO 1 PRESC.]]&amp;" + "&amp;Table33[[#This Row],[EVENTO 2 PRESC.]]</f>
        <v xml:space="preserve"> + </v>
      </c>
      <c r="E133" s="85" t="str">
        <f>Table334[[#This Row],[EVENTO 1 PYP]]&amp;" + "&amp;Table334[[#This Row],[EVENTO 2 PYP]]</f>
        <v xml:space="preserve"> + </v>
      </c>
      <c r="F133" s="85" t="str">
        <f>Table3345[[#This Row],[EVENTO 1 MYP]]&amp;" + "&amp;Table3345[[#This Row],[EVENTO 2 MYP]]</f>
        <v xml:space="preserve"> + </v>
      </c>
      <c r="G133" s="85" t="str">
        <f>Table33456[[#This Row],[EVENTO 1 DP]]&amp;" + "&amp;Table33456[[#This Row],[EVENTO 2 DP]]</f>
        <v xml:space="preserve"> + </v>
      </c>
      <c r="H133" s="85"/>
      <c r="I133" s="88"/>
      <c r="J133" s="88"/>
      <c r="K133" s="20"/>
      <c r="L133" s="26"/>
      <c r="M133" s="8"/>
      <c r="N133" s="8"/>
      <c r="O133" s="29"/>
      <c r="P133" s="29"/>
      <c r="Q133" s="29"/>
      <c r="V133" s="1"/>
    </row>
    <row r="134" spans="1:22" ht="24" hidden="1" x14ac:dyDescent="0.2">
      <c r="A134" s="10">
        <v>45970</v>
      </c>
      <c r="B134" s="23" t="s">
        <v>20</v>
      </c>
      <c r="C134" s="9"/>
      <c r="D134" s="85" t="str">
        <f>Table33[[#This Row],[EVENTO 1 PRESC.]]&amp;" + "&amp;Table33[[#This Row],[EVENTO 2 PRESC.]]</f>
        <v xml:space="preserve"> + </v>
      </c>
      <c r="E134" s="85" t="str">
        <f>Table334[[#This Row],[EVENTO 1 PYP]]&amp;" + "&amp;Table334[[#This Row],[EVENTO 2 PYP]]</f>
        <v xml:space="preserve"> + </v>
      </c>
      <c r="F134" s="85" t="str">
        <f>Table3345[[#This Row],[EVENTO 1 MYP]]&amp;" + "&amp;Table3345[[#This Row],[EVENTO 2 MYP]]</f>
        <v xml:space="preserve"> + </v>
      </c>
      <c r="G134" s="85" t="str">
        <f>Table33456[[#This Row],[EVENTO 1 DP]]&amp;" + "&amp;Table33456[[#This Row],[EVENTO 2 DP]]</f>
        <v xml:space="preserve"> + </v>
      </c>
      <c r="H134" s="85"/>
      <c r="I134" s="88"/>
      <c r="J134" s="88"/>
      <c r="K134" s="20"/>
      <c r="L134" s="26"/>
      <c r="M134" s="8"/>
      <c r="N134" s="8"/>
      <c r="O134" s="29"/>
      <c r="P134" s="29"/>
      <c r="Q134" s="29"/>
      <c r="V134" s="1"/>
    </row>
    <row r="135" spans="1:22" ht="48" hidden="1" x14ac:dyDescent="0.2">
      <c r="A135" s="7">
        <v>45971</v>
      </c>
      <c r="B135" s="33">
        <v>5</v>
      </c>
      <c r="C135" s="6" t="str">
        <f>"G11 - "&amp;Table3[[#This Row],[BACH-DP]]</f>
        <v xml:space="preserve">G11 - CONVIVENCIA ONCE  + </v>
      </c>
      <c r="D135" s="91" t="str">
        <f>Table33[[#This Row],[EVENTO 1 PRESC.]]&amp;" + "&amp;Table33[[#This Row],[EVENTO 2 PRESC.]]</f>
        <v xml:space="preserve"> + </v>
      </c>
      <c r="E135" s="91" t="str">
        <f>Table334[[#This Row],[EVENTO 1 PYP]]&amp;" + "&amp;Table334[[#This Row],[EVENTO 2 PYP]]</f>
        <v xml:space="preserve"> + </v>
      </c>
      <c r="F135" s="91" t="str">
        <f>Table3345[[#This Row],[EVENTO 1 MYP]]&amp;" + "&amp;Table3345[[#This Row],[EVENTO 2 MYP]]</f>
        <v xml:space="preserve">APLICACIÓN DE PRE TEST CONSENTIDOS II GRADO 7° 2:00 P.M.  + </v>
      </c>
      <c r="G135" s="91" t="str">
        <f>Table33456[[#This Row],[EVENTO 1 DP]]&amp;" + "&amp;Table33456[[#This Row],[EVENTO 2 DP]]</f>
        <v xml:space="preserve">CONVIVENCIA ONCE  + </v>
      </c>
      <c r="H135" s="91"/>
      <c r="I135" s="92"/>
      <c r="J135" s="92"/>
      <c r="K135" s="21"/>
      <c r="L135" s="27">
        <f>1+SUM(L126:L132)</f>
        <v>13</v>
      </c>
      <c r="M135" s="5"/>
      <c r="N135" s="5"/>
      <c r="O135" s="29"/>
      <c r="P135" s="29"/>
      <c r="Q135" s="29"/>
      <c r="V135" s="1"/>
    </row>
    <row r="136" spans="1:22" ht="48" hidden="1" x14ac:dyDescent="0.2">
      <c r="A136" s="7">
        <v>45972</v>
      </c>
      <c r="B136" s="33">
        <v>6</v>
      </c>
      <c r="C136" s="6" t="str">
        <f>"G9-G11 - "&amp;Table3[[#This Row],[EVENTO AACBI]]</f>
        <v>G9-G11 - XVIII Copa AACBI mayores (GimNorte)</v>
      </c>
      <c r="D136" s="91" t="str">
        <f>Table33[[#This Row],[EVENTO 1 PRESC.]]&amp;" + "&amp;Table33[[#This Row],[EVENTO 2 PRESC.]]</f>
        <v xml:space="preserve">Nature's Field Trip - Jardín Botánico K4 + K5 + TR + </v>
      </c>
      <c r="E136" s="91" t="str">
        <f>Table334[[#This Row],[EVENTO 1 PYP]]&amp;" + "&amp;Table334[[#This Row],[EVENTO 2 PYP]]</f>
        <v xml:space="preserve"> + </v>
      </c>
      <c r="F136" s="91" t="str">
        <f>Table3345[[#This Row],[EVENTO 1 MYP]]&amp;" + "&amp;Table3345[[#This Row],[EVENTO 2 MYP]]</f>
        <v xml:space="preserve"> + </v>
      </c>
      <c r="G136" s="91" t="str">
        <f>Table33456[[#This Row],[EVENTO 1 DP]]&amp;" + "&amp;Table33456[[#This Row],[EVENTO 2 DP]]</f>
        <v xml:space="preserve"> + </v>
      </c>
      <c r="H136" s="91"/>
      <c r="I136" s="92"/>
      <c r="J136" s="92" t="s">
        <v>72</v>
      </c>
      <c r="K136" s="21">
        <v>9</v>
      </c>
      <c r="L136" s="27"/>
      <c r="M136" s="5"/>
      <c r="N136" s="5"/>
      <c r="O136" s="29"/>
      <c r="P136" s="29"/>
      <c r="Q136" s="29"/>
      <c r="V136" s="1"/>
    </row>
    <row r="137" spans="1:22" ht="48" hidden="1" x14ac:dyDescent="0.2">
      <c r="A137" s="7">
        <v>45973</v>
      </c>
      <c r="B137" s="33">
        <v>1</v>
      </c>
      <c r="C137" s="6" t="str">
        <f>"G9-G11 - "&amp;Table3[[#This Row],[EVENTO AACBI]]</f>
        <v>G9-G11 - XVIII Copa AACBI mayores (GimNorte)</v>
      </c>
      <c r="D137" s="91" t="str">
        <f>Table33[[#This Row],[EVENTO 1 PRESC.]]&amp;" + "&amp;Table33[[#This Row],[EVENTO 2 PRESC.]]</f>
        <v xml:space="preserve"> + Notas parciales en Phidias </v>
      </c>
      <c r="E137" s="91" t="str">
        <f>Table334[[#This Row],[EVENTO 1 PYP]]&amp;" + "&amp;Table334[[#This Row],[EVENTO 2 PYP]]</f>
        <v xml:space="preserve">Notas parciales en Phidias  + </v>
      </c>
      <c r="F137" s="91" t="str">
        <f>Table3345[[#This Row],[EVENTO 1 MYP]]&amp;" + "&amp;Table3345[[#This Row],[EVENTO 2 MYP]]</f>
        <v xml:space="preserve"> + </v>
      </c>
      <c r="G137" s="91" t="str">
        <f>Table33456[[#This Row],[EVENTO 1 DP]]&amp;" + "&amp;Table33456[[#This Row],[EVENTO 2 DP]]</f>
        <v xml:space="preserve"> + </v>
      </c>
      <c r="H137" s="91"/>
      <c r="I137" s="92"/>
      <c r="J137" s="92" t="s">
        <v>72</v>
      </c>
      <c r="K137" s="21"/>
      <c r="L137" s="27"/>
      <c r="M137" s="5"/>
      <c r="N137" s="5"/>
      <c r="O137" s="29"/>
      <c r="P137" s="29"/>
      <c r="Q137" s="29"/>
      <c r="V137" s="1"/>
    </row>
    <row r="138" spans="1:22" ht="48" hidden="1" x14ac:dyDescent="0.2">
      <c r="A138" s="7">
        <v>45974</v>
      </c>
      <c r="B138" s="33">
        <v>2</v>
      </c>
      <c r="C138" s="6" t="str">
        <f>"G9-G11 - "&amp;Table3[[#This Row],[EVENTO AACBI]]</f>
        <v>G9-G11 - XVIII Copa AACBI mayores (GimNorte)</v>
      </c>
      <c r="D138" s="91" t="str">
        <f>Table33[[#This Row],[EVENTO 1 PRESC.]]&amp;" + "&amp;Table33[[#This Row],[EVENTO 2 PRESC.]]</f>
        <v xml:space="preserve"> + </v>
      </c>
      <c r="E138" s="91" t="str">
        <f>Table334[[#This Row],[EVENTO 1 PYP]]&amp;" + "&amp;Table334[[#This Row],[EVENTO 2 PYP]]</f>
        <v xml:space="preserve"> + </v>
      </c>
      <c r="F138" s="91" t="str">
        <f>Table3345[[#This Row],[EVENTO 1 MYP]]&amp;" + "&amp;Table3345[[#This Row],[EVENTO 2 MYP]]</f>
        <v xml:space="preserve"> + </v>
      </c>
      <c r="G138" s="91" t="str">
        <f>Table33456[[#This Row],[EVENTO 1 DP]]&amp;" + "&amp;Table33456[[#This Row],[EVENTO 2 DP]]</f>
        <v xml:space="preserve"> + </v>
      </c>
      <c r="H138" s="91"/>
      <c r="I138" s="92"/>
      <c r="J138" s="92" t="s">
        <v>72</v>
      </c>
      <c r="K138" s="21"/>
      <c r="L138" s="27"/>
      <c r="M138" s="5"/>
      <c r="N138" s="5"/>
      <c r="O138" s="29"/>
      <c r="P138" s="29"/>
      <c r="Q138" s="29"/>
      <c r="V138" s="1"/>
    </row>
    <row r="139" spans="1:22" ht="48" hidden="1" x14ac:dyDescent="0.2">
      <c r="A139" s="7">
        <v>45975</v>
      </c>
      <c r="B139" s="33">
        <v>3</v>
      </c>
      <c r="C139" s="6" t="str">
        <f>"G9-G11 - "&amp;Table3[[#This Row],[EVENTO AACBI]]</f>
        <v>G9-G11 - XVIII Copa AACBI mayores (GimNorte)</v>
      </c>
      <c r="D139" s="91" t="str">
        <f>Table33[[#This Row],[EVENTO 1 PRESC.]]&amp;" + "&amp;Table33[[#This Row],[EVENTO 2 PRESC.]]</f>
        <v xml:space="preserve"> + </v>
      </c>
      <c r="E139" s="91" t="str">
        <f>Table334[[#This Row],[EVENTO 1 PYP]]&amp;" + "&amp;Table334[[#This Row],[EVENTO 2 PYP]]</f>
        <v xml:space="preserve">APLICACIÓN PRE TEST CONSENTIDOS I GRADO 5° + </v>
      </c>
      <c r="F139" s="91" t="str">
        <f>Table3345[[#This Row],[EVENTO 1 MYP]]&amp;" + "&amp;Table3345[[#This Row],[EVENTO 2 MYP]]</f>
        <v xml:space="preserve"> + </v>
      </c>
      <c r="G139" s="91" t="str">
        <f>Table33456[[#This Row],[EVENTO 1 DP]]&amp;" + "&amp;Table33456[[#This Row],[EVENTO 2 DP]]</f>
        <v xml:space="preserve"> + </v>
      </c>
      <c r="H139" s="91"/>
      <c r="I139" s="92" t="s">
        <v>73</v>
      </c>
      <c r="J139" s="92" t="s">
        <v>72</v>
      </c>
      <c r="K139" s="21"/>
      <c r="L139" s="27"/>
      <c r="M139" s="5"/>
      <c r="N139" s="5"/>
      <c r="O139" s="29" t="s">
        <v>65</v>
      </c>
      <c r="P139" s="29"/>
      <c r="Q139" s="29"/>
      <c r="V139" s="1"/>
    </row>
    <row r="140" spans="1:22" ht="24" hidden="1" x14ac:dyDescent="0.2">
      <c r="A140" s="10">
        <v>45976</v>
      </c>
      <c r="B140" s="23" t="s">
        <v>20</v>
      </c>
      <c r="C140" s="9"/>
      <c r="D140" s="85" t="str">
        <f>Table33[[#This Row],[EVENTO 1 PRESC.]]&amp;" + "&amp;Table33[[#This Row],[EVENTO 2 PRESC.]]</f>
        <v xml:space="preserve"> + </v>
      </c>
      <c r="E140" s="85" t="str">
        <f>Table334[[#This Row],[EVENTO 1 PYP]]&amp;" + "&amp;Table334[[#This Row],[EVENTO 2 PYP]]</f>
        <v xml:space="preserve"> + </v>
      </c>
      <c r="F140" s="85" t="str">
        <f>Table3345[[#This Row],[EVENTO 1 MYP]]&amp;" + "&amp;Table3345[[#This Row],[EVENTO 2 MYP]]</f>
        <v xml:space="preserve"> + </v>
      </c>
      <c r="G140" s="85" t="str">
        <f>Table33456[[#This Row],[EVENTO 1 DP]]&amp;" + "&amp;Table33456[[#This Row],[EVENTO 2 DP]]</f>
        <v xml:space="preserve"> + </v>
      </c>
      <c r="H140" s="85"/>
      <c r="I140" s="88"/>
      <c r="J140" s="88"/>
      <c r="K140" s="20"/>
      <c r="L140" s="26"/>
      <c r="M140" s="8"/>
      <c r="N140" s="8"/>
      <c r="O140" s="29"/>
      <c r="P140" s="29"/>
      <c r="Q140" s="29"/>
      <c r="V140" s="1"/>
    </row>
    <row r="141" spans="1:22" ht="24" hidden="1" x14ac:dyDescent="0.2">
      <c r="A141" s="10">
        <v>45977</v>
      </c>
      <c r="B141" s="23" t="s">
        <v>20</v>
      </c>
      <c r="C141" s="9"/>
      <c r="D141" s="85" t="str">
        <f>Table33[[#This Row],[EVENTO 1 PRESC.]]&amp;" + "&amp;Table33[[#This Row],[EVENTO 2 PRESC.]]</f>
        <v xml:space="preserve"> + </v>
      </c>
      <c r="E141" s="85" t="str">
        <f>Table334[[#This Row],[EVENTO 1 PYP]]&amp;" + "&amp;Table334[[#This Row],[EVENTO 2 PYP]]</f>
        <v xml:space="preserve"> + </v>
      </c>
      <c r="F141" s="85" t="str">
        <f>Table3345[[#This Row],[EVENTO 1 MYP]]&amp;" + "&amp;Table3345[[#This Row],[EVENTO 2 MYP]]</f>
        <v xml:space="preserve"> + </v>
      </c>
      <c r="G141" s="85" t="str">
        <f>Table33456[[#This Row],[EVENTO 1 DP]]&amp;" + "&amp;Table33456[[#This Row],[EVENTO 2 DP]]</f>
        <v xml:space="preserve"> + </v>
      </c>
      <c r="H141" s="85"/>
      <c r="I141" s="88"/>
      <c r="J141" s="88"/>
      <c r="K141" s="20"/>
      <c r="L141" s="26"/>
      <c r="M141" s="8"/>
      <c r="N141" s="8"/>
      <c r="O141" s="29"/>
      <c r="P141" s="29"/>
      <c r="Q141" s="29"/>
      <c r="V141" s="1"/>
    </row>
    <row r="142" spans="1:22" ht="24" hidden="1" x14ac:dyDescent="0.2">
      <c r="A142" s="10">
        <v>45978</v>
      </c>
      <c r="B142" s="23" t="s">
        <v>17</v>
      </c>
      <c r="C142" s="9"/>
      <c r="D142" s="85" t="str">
        <f>Table33[[#This Row],[EVENTO 1 PRESC.]]&amp;" + "&amp;Table33[[#This Row],[EVENTO 2 PRESC.]]</f>
        <v xml:space="preserve"> + </v>
      </c>
      <c r="E142" s="85" t="str">
        <f>Table334[[#This Row],[EVENTO 1 PYP]]&amp;" + "&amp;Table334[[#This Row],[EVENTO 2 PYP]]</f>
        <v xml:space="preserve"> + </v>
      </c>
      <c r="F142" s="85" t="str">
        <f>Table3345[[#This Row],[EVENTO 1 MYP]]&amp;" + "&amp;Table3345[[#This Row],[EVENTO 2 MYP]]</f>
        <v xml:space="preserve"> + </v>
      </c>
      <c r="G142" s="85" t="str">
        <f>Table33456[[#This Row],[EVENTO 1 DP]]&amp;" + "&amp;Table33456[[#This Row],[EVENTO 2 DP]]</f>
        <v xml:space="preserve"> + </v>
      </c>
      <c r="H142" s="85"/>
      <c r="I142" s="88"/>
      <c r="J142" s="88"/>
      <c r="K142" s="20"/>
      <c r="L142" s="26"/>
      <c r="M142" s="8"/>
      <c r="N142" s="8"/>
      <c r="O142" s="29"/>
      <c r="P142" s="29"/>
      <c r="Q142" s="29"/>
      <c r="V142" s="1"/>
    </row>
    <row r="143" spans="1:22" ht="64" hidden="1" x14ac:dyDescent="0.2">
      <c r="A143" s="7">
        <v>45979</v>
      </c>
      <c r="B143" s="33">
        <v>4</v>
      </c>
      <c r="C143" s="6"/>
      <c r="D143" s="91" t="str">
        <f>Table33[[#This Row],[EVENTO 1 PRESC.]]&amp;" + "&amp;Table33[[#This Row],[EVENTO 2 PRESC.]]</f>
        <v xml:space="preserve"> + </v>
      </c>
      <c r="E143" s="91" t="str">
        <f>Table334[[#This Row],[EVENTO 1 PYP]]&amp;" + "&amp;Table334[[#This Row],[EVENTO 2 PYP]]</f>
        <v xml:space="preserve">SOCIALIZACIÓN RESULTADOS ENCUESTA CLIMA ESCOLAR  + </v>
      </c>
      <c r="F143" s="91" t="str">
        <f>Table3345[[#This Row],[EVENTO 1 MYP]]&amp;" + "&amp;Table3345[[#This Row],[EVENTO 2 MYP]]</f>
        <v xml:space="preserve">SOCIALIZACIÓN ENCUESTA CLIMA ESCOLAR  + APLICACIÓN PRE TEST CONSENTIDOS III GRADO 9° 10:45 A.M. </v>
      </c>
      <c r="G143" s="91" t="str">
        <f>Table33456[[#This Row],[EVENTO 1 DP]]&amp;" + "&amp;Table33456[[#This Row],[EVENTO 2 DP]]</f>
        <v xml:space="preserve">SOCIALIZACIÓN ENCUESTA CLIAM ESCOLAR + </v>
      </c>
      <c r="H143" s="91"/>
      <c r="I143" s="92"/>
      <c r="J143" s="92"/>
      <c r="K143" s="21"/>
      <c r="L143" s="27">
        <f>1+SUM(L134:L140)</f>
        <v>14</v>
      </c>
      <c r="M143" s="5"/>
      <c r="N143" s="5"/>
      <c r="O143" s="29"/>
      <c r="P143" s="29"/>
      <c r="Q143" s="29"/>
      <c r="V143" s="1"/>
    </row>
    <row r="144" spans="1:22" ht="24" hidden="1" x14ac:dyDescent="0.2">
      <c r="A144" s="7">
        <v>45980</v>
      </c>
      <c r="B144" s="33">
        <v>5</v>
      </c>
      <c r="C144" s="6"/>
      <c r="D144" s="91" t="str">
        <f>Table33[[#This Row],[EVENTO 1 PRESC.]]&amp;" + "&amp;Table33[[#This Row],[EVENTO 2 PRESC.]]</f>
        <v xml:space="preserve"> + </v>
      </c>
      <c r="E144" s="91" t="str">
        <f>Table334[[#This Row],[EVENTO 1 PYP]]&amp;" + "&amp;Table334[[#This Row],[EVENTO 2 PYP]]</f>
        <v xml:space="preserve"> + </v>
      </c>
      <c r="F144" s="91" t="str">
        <f>Table3345[[#This Row],[EVENTO 1 MYP]]&amp;" + "&amp;Table3345[[#This Row],[EVENTO 2 MYP]]</f>
        <v xml:space="preserve">CONVIVENCIA SÉPTIMO  + </v>
      </c>
      <c r="G144" s="91" t="str">
        <f>Table33456[[#This Row],[EVENTO 1 DP]]&amp;" + "&amp;Table33456[[#This Row],[EVENTO 2 DP]]</f>
        <v xml:space="preserve"> + </v>
      </c>
      <c r="H144" s="91"/>
      <c r="I144" s="92"/>
      <c r="J144" s="92"/>
      <c r="K144" s="21"/>
      <c r="L144" s="27"/>
      <c r="M144" s="5"/>
      <c r="N144" s="5"/>
      <c r="O144" s="29"/>
      <c r="P144" s="29"/>
      <c r="Q144" s="29"/>
      <c r="V144" s="1"/>
    </row>
    <row r="145" spans="1:22" ht="48" hidden="1" x14ac:dyDescent="0.2">
      <c r="A145" s="7">
        <v>45981</v>
      </c>
      <c r="B145" s="33">
        <v>6</v>
      </c>
      <c r="C145" s="6" t="str">
        <f>"G10 - "&amp;Table3[[#This Row],[BACH-DP]]</f>
        <v xml:space="preserve">G10 - CONVIVENCIA DÉCIMO + </v>
      </c>
      <c r="D145" s="91" t="str">
        <f>Table33[[#This Row],[EVENTO 1 PRESC.]]&amp;" + "&amp;Table33[[#This Row],[EVENTO 2 PRESC.]]</f>
        <v xml:space="preserve"> + Evaluation Committees II Bim</v>
      </c>
      <c r="E145" s="91" t="str">
        <f>Table334[[#This Row],[EVENTO 1 PYP]]&amp;" + "&amp;Table334[[#This Row],[EVENTO 2 PYP]]</f>
        <v>CONVIVENCIA CUARTO  + Evaluation Committees II Bim</v>
      </c>
      <c r="F145" s="101" t="str">
        <f>Table3345[[#This Row],[EVENTO 1 MYP]]&amp;" + "&amp;Table3345[[#This Row],[EVENTO 2 MYP]]</f>
        <v xml:space="preserve">DÍA DEL PROFESIONAL / Aplicación Te Oriento IB 9° VIRTUAL 6:00 P.M.  + </v>
      </c>
      <c r="G145" s="101" t="str">
        <f>Table33456[[#This Row],[EVENTO 1 DP]]&amp;" + "&amp;Table33456[[#This Row],[EVENTO 2 DP]]</f>
        <v xml:space="preserve">CONVIVENCIA DÉCIMO + </v>
      </c>
      <c r="H145" s="91"/>
      <c r="I145" s="92"/>
      <c r="J145" s="92"/>
      <c r="K145" s="21">
        <v>10</v>
      </c>
      <c r="L145" s="27"/>
      <c r="M145" s="5"/>
      <c r="N145" s="5"/>
      <c r="O145" s="29"/>
      <c r="P145" s="29"/>
      <c r="Q145" s="29"/>
      <c r="V145" s="1"/>
    </row>
    <row r="146" spans="1:22" ht="64" hidden="1" x14ac:dyDescent="0.2">
      <c r="A146" s="7">
        <v>45982</v>
      </c>
      <c r="B146" s="33">
        <v>1</v>
      </c>
      <c r="C146" s="6" t="s">
        <v>74</v>
      </c>
      <c r="D146" s="91" t="str">
        <f>Table33[[#This Row],[EVENTO 1 PRESC.]]&amp;" + "&amp;Table33[[#This Row],[EVENTO 2 PRESC.]]</f>
        <v>CONVIVENCIA TRANSICION  + Evaluation Committees II Bim</v>
      </c>
      <c r="E146" s="91" t="str">
        <f>Table334[[#This Row],[EVENTO 1 PYP]]&amp;" + "&amp;Table334[[#This Row],[EVENTO 2 PYP]]</f>
        <v xml:space="preserve"> + Evaluation Committees II Bim</v>
      </c>
      <c r="F146" s="91" t="str">
        <f>Table3345[[#This Row],[EVENTO 1 MYP]]&amp;" + "&amp;Table3345[[#This Row],[EVENTO 2 MYP]]</f>
        <v>SEGUNDA CONVIVENCIA CONFIRMACIÓN + OLIMPIADAS COLOMBIANAS DE MATEMÁTICAS RONDA FINAL</v>
      </c>
      <c r="G146" s="91" t="str">
        <f>Table33456[[#This Row],[EVENTO 1 DP]]&amp;" + "&amp;Table33456[[#This Row],[EVENTO 2 DP]]</f>
        <v xml:space="preserve">Mesa de trabajo Monografía (lidera Angeli Bocanegra) + </v>
      </c>
      <c r="H146" s="91"/>
      <c r="I146" s="92"/>
      <c r="J146" s="92"/>
      <c r="K146" s="21"/>
      <c r="L146" s="27"/>
      <c r="M146" s="5"/>
      <c r="N146" s="5"/>
      <c r="O146" s="29"/>
      <c r="P146" s="29"/>
      <c r="Q146" s="29"/>
      <c r="V146" s="1"/>
    </row>
    <row r="147" spans="1:22" ht="64" hidden="1" x14ac:dyDescent="0.2">
      <c r="A147" s="10">
        <v>45983</v>
      </c>
      <c r="B147" s="23" t="s">
        <v>20</v>
      </c>
      <c r="C147" s="9" t="s">
        <v>74</v>
      </c>
      <c r="D147" s="85" t="str">
        <f>Table33[[#This Row],[EVENTO 1 PRESC.]]&amp;" + "&amp;Table33[[#This Row],[EVENTO 2 PRESC.]]</f>
        <v xml:space="preserve"> + </v>
      </c>
      <c r="E147" s="85" t="str">
        <f>Table334[[#This Row],[EVENTO 1 PYP]]&amp;" + "&amp;Table334[[#This Row],[EVENTO 2 PYP]]</f>
        <v xml:space="preserve"> + </v>
      </c>
      <c r="F147" s="85" t="str">
        <f>Table3345[[#This Row],[EVENTO 1 MYP]]&amp;" + "&amp;Table3345[[#This Row],[EVENTO 2 MYP]]</f>
        <v>SEGUNDA CONVIVENCIA CONFIRMACIÓN + OLIMPIADAS COLOMBIANAS DE MATEMÁTICAS RONDA FINAL</v>
      </c>
      <c r="G147" s="85" t="str">
        <f>Table33456[[#This Row],[EVENTO 1 DP]]&amp;" + "&amp;Table33456[[#This Row],[EVENTO 2 DP]]</f>
        <v xml:space="preserve"> + </v>
      </c>
      <c r="H147" s="85"/>
      <c r="I147" s="88"/>
      <c r="J147" s="88"/>
      <c r="K147" s="20"/>
      <c r="L147" s="26"/>
      <c r="M147" s="8"/>
      <c r="N147" s="8"/>
      <c r="O147" s="29"/>
      <c r="P147" s="29"/>
      <c r="Q147" s="29"/>
      <c r="V147" s="1"/>
    </row>
    <row r="148" spans="1:22" ht="24" hidden="1" x14ac:dyDescent="0.2">
      <c r="A148" s="10">
        <v>45984</v>
      </c>
      <c r="B148" s="23" t="s">
        <v>20</v>
      </c>
      <c r="C148" s="9"/>
      <c r="D148" s="85" t="str">
        <f>Table33[[#This Row],[EVENTO 1 PRESC.]]&amp;" + "&amp;Table33[[#This Row],[EVENTO 2 PRESC.]]</f>
        <v xml:space="preserve"> + </v>
      </c>
      <c r="E148" s="85" t="str">
        <f>Table334[[#This Row],[EVENTO 1 PYP]]&amp;" + "&amp;Table334[[#This Row],[EVENTO 2 PYP]]</f>
        <v xml:space="preserve"> + </v>
      </c>
      <c r="F148" s="85" t="str">
        <f>Table3345[[#This Row],[EVENTO 1 MYP]]&amp;" + "&amp;Table3345[[#This Row],[EVENTO 2 MYP]]</f>
        <v xml:space="preserve"> + </v>
      </c>
      <c r="G148" s="85" t="str">
        <f>Table33456[[#This Row],[EVENTO 1 DP]]&amp;" + "&amp;Table33456[[#This Row],[EVENTO 2 DP]]</f>
        <v xml:space="preserve"> + </v>
      </c>
      <c r="H148" s="85"/>
      <c r="I148" s="88"/>
      <c r="J148" s="88"/>
      <c r="K148" s="20"/>
      <c r="L148" s="26"/>
      <c r="M148" s="8"/>
      <c r="N148" s="8"/>
      <c r="O148" s="29"/>
      <c r="P148" s="29"/>
      <c r="Q148" s="29"/>
      <c r="V148" s="1"/>
    </row>
    <row r="149" spans="1:22" ht="32" hidden="1" x14ac:dyDescent="0.2">
      <c r="A149" s="7">
        <v>45985</v>
      </c>
      <c r="B149" s="33">
        <v>2</v>
      </c>
      <c r="C149" s="6"/>
      <c r="D149" s="91" t="str">
        <f>Table33[[#This Row],[EVENTO 1 PRESC.]]&amp;" + "&amp;Table33[[#This Row],[EVENTO 2 PRESC.]]</f>
        <v xml:space="preserve"> + Evaluation Committees II Bim</v>
      </c>
      <c r="E149" s="91" t="str">
        <f>Table334[[#This Row],[EVENTO 1 PYP]]&amp;" + "&amp;Table334[[#This Row],[EVENTO 2 PYP]]</f>
        <v>CONVIVENCIA QUINTO  + Evaluation Committees II Bim</v>
      </c>
      <c r="F149" s="91" t="str">
        <f>Table3345[[#This Row],[EVENTO 1 MYP]]&amp;" + "&amp;Table3345[[#This Row],[EVENTO 2 MYP]]</f>
        <v xml:space="preserve"> + </v>
      </c>
      <c r="G149" s="91" t="str">
        <f>Table33456[[#This Row],[EVENTO 1 DP]]&amp;" + "&amp;Table33456[[#This Row],[EVENTO 2 DP]]</f>
        <v xml:space="preserve"> + </v>
      </c>
      <c r="H149" s="91"/>
      <c r="I149" s="92"/>
      <c r="J149" s="92"/>
      <c r="K149" s="21"/>
      <c r="L149" s="27">
        <f>1+SUM(L140:L146)</f>
        <v>15</v>
      </c>
      <c r="M149" s="5"/>
      <c r="N149" s="5"/>
      <c r="O149" s="29"/>
      <c r="P149" s="29"/>
      <c r="Q149" s="29"/>
      <c r="V149" s="1"/>
    </row>
    <row r="150" spans="1:22" ht="24" hidden="1" x14ac:dyDescent="0.2">
      <c r="A150" s="7">
        <v>45986</v>
      </c>
      <c r="B150" s="33">
        <v>3</v>
      </c>
      <c r="C150" s="6"/>
      <c r="D150" s="91" t="str">
        <f>Table33[[#This Row],[EVENTO 1 PRESC.]]&amp;" + "&amp;Table33[[#This Row],[EVENTO 2 PRESC.]]</f>
        <v xml:space="preserve">CONVIVENCIA PRIMERO  + </v>
      </c>
      <c r="E150" s="91" t="str">
        <f>Table334[[#This Row],[EVENTO 1 PYP]]&amp;" + "&amp;Table334[[#This Row],[EVENTO 2 PYP]]</f>
        <v xml:space="preserve">IV SEMBRATÓN CIEDI PYP + </v>
      </c>
      <c r="F150" s="91" t="str">
        <f>Table3345[[#This Row],[EVENTO 1 MYP]]&amp;" + "&amp;Table3345[[#This Row],[EVENTO 2 MYP]]</f>
        <v xml:space="preserve"> + </v>
      </c>
      <c r="G150" s="91" t="str">
        <f>Table33456[[#This Row],[EVENTO 1 DP]]&amp;" + "&amp;Table33456[[#This Row],[EVENTO 2 DP]]</f>
        <v xml:space="preserve">Jornada IB grado once  + </v>
      </c>
      <c r="H150" s="91"/>
      <c r="I150" s="92"/>
      <c r="J150" s="92"/>
      <c r="K150" s="21"/>
      <c r="L150" s="27"/>
      <c r="M150" s="5"/>
      <c r="N150" s="5"/>
      <c r="O150" s="29"/>
      <c r="P150" s="29"/>
      <c r="Q150" s="29"/>
      <c r="V150" s="1"/>
    </row>
    <row r="151" spans="1:22" ht="24" hidden="1" x14ac:dyDescent="0.2">
      <c r="A151" s="7">
        <v>45987</v>
      </c>
      <c r="B151" s="33">
        <v>4</v>
      </c>
      <c r="C151" s="6"/>
      <c r="D151" s="91" t="str">
        <f>Table33[[#This Row],[EVENTO 1 PRESC.]]&amp;" + "&amp;Table33[[#This Row],[EVENTO 2 PRESC.]]</f>
        <v xml:space="preserve"> + </v>
      </c>
      <c r="E151" s="91" t="str">
        <f>Table334[[#This Row],[EVENTO 1 PYP]]&amp;" + "&amp;Table334[[#This Row],[EVENTO 2 PYP]]</f>
        <v xml:space="preserve"> + </v>
      </c>
      <c r="F151" s="91" t="str">
        <f>Table3345[[#This Row],[EVENTO 1 MYP]]&amp;" + "&amp;Table3345[[#This Row],[EVENTO 2 MYP]]</f>
        <v xml:space="preserve">CONFESIONES DE CONFIRMANTES + </v>
      </c>
      <c r="G151" s="91" t="str">
        <f>Table33456[[#This Row],[EVENTO 1 DP]]&amp;" + "&amp;Table33456[[#This Row],[EVENTO 2 DP]]</f>
        <v xml:space="preserve"> + </v>
      </c>
      <c r="H151" s="91"/>
      <c r="I151" s="92"/>
      <c r="J151" s="92"/>
      <c r="K151" s="21"/>
      <c r="L151" s="27"/>
      <c r="M151" s="5"/>
      <c r="N151" s="5"/>
      <c r="O151" s="29"/>
      <c r="P151" s="29"/>
      <c r="Q151" s="29"/>
      <c r="V151" s="1"/>
    </row>
    <row r="152" spans="1:22" ht="24" hidden="1" x14ac:dyDescent="0.2">
      <c r="A152" s="7">
        <v>45988</v>
      </c>
      <c r="B152" s="33">
        <v>5</v>
      </c>
      <c r="C152" s="6"/>
      <c r="D152" s="91" t="str">
        <f>Table33[[#This Row],[EVENTO 1 PRESC.]]&amp;" + "&amp;Table33[[#This Row],[EVENTO 2 PRESC.]]</f>
        <v xml:space="preserve"> + </v>
      </c>
      <c r="E152" s="91" t="str">
        <f>Table334[[#This Row],[EVENTO 1 PYP]]&amp;" + "&amp;Table334[[#This Row],[EVENTO 2 PYP]]</f>
        <v xml:space="preserve"> + </v>
      </c>
      <c r="F152" s="91" t="str">
        <f>Table3345[[#This Row],[EVENTO 1 MYP]]&amp;" + "&amp;Table3345[[#This Row],[EVENTO 2 MYP]]</f>
        <v xml:space="preserve"> + </v>
      </c>
      <c r="G152" s="91" t="str">
        <f>Table33456[[#This Row],[EVENTO 1 DP]]&amp;" + "&amp;Table33456[[#This Row],[EVENTO 2 DP]]</f>
        <v xml:space="preserve"> + </v>
      </c>
      <c r="H152" s="91"/>
      <c r="I152" s="92"/>
      <c r="J152" s="92"/>
      <c r="K152" s="21"/>
      <c r="L152" s="27"/>
      <c r="M152" s="5"/>
      <c r="N152" s="5"/>
      <c r="O152" s="29"/>
      <c r="P152" s="29"/>
      <c r="Q152" s="29"/>
      <c r="V152" s="1"/>
    </row>
    <row r="153" spans="1:22" ht="24" hidden="1" x14ac:dyDescent="0.2">
      <c r="A153" s="7">
        <v>45989</v>
      </c>
      <c r="B153" s="24" t="s">
        <v>51</v>
      </c>
      <c r="C153" s="6" t="s">
        <v>75</v>
      </c>
      <c r="D153" s="91" t="str">
        <f>Table33[[#This Row],[EVENTO 1 PRESC.]]&amp;" + "&amp;Table33[[#This Row],[EVENTO 2 PRESC.]]</f>
        <v xml:space="preserve">CHRISTMAS SHOW + </v>
      </c>
      <c r="E153" s="91" t="str">
        <f>Table334[[#This Row],[EVENTO 1 PYP]]&amp;" + "&amp;Table334[[#This Row],[EVENTO 2 PYP]]</f>
        <v xml:space="preserve">CHRISTMAS SHOW + </v>
      </c>
      <c r="F153" s="91" t="str">
        <f>Table3345[[#This Row],[EVENTO 1 MYP]]&amp;" + "&amp;Table3345[[#This Row],[EVENTO 2 MYP]]</f>
        <v xml:space="preserve"> + </v>
      </c>
      <c r="G153" s="91" t="str">
        <f>Table33456[[#This Row],[EVENTO 1 DP]]&amp;" + "&amp;Table33456[[#This Row],[EVENTO 2 DP]]</f>
        <v xml:space="preserve"> + </v>
      </c>
      <c r="H153" s="91"/>
      <c r="I153" s="92"/>
      <c r="J153" s="92"/>
      <c r="K153" s="21"/>
      <c r="L153" s="27"/>
      <c r="M153" s="5"/>
      <c r="N153" s="5"/>
      <c r="O153" s="29"/>
      <c r="P153" s="29"/>
      <c r="Q153" s="29"/>
      <c r="V153" s="1"/>
    </row>
    <row r="154" spans="1:22" ht="24" hidden="1" x14ac:dyDescent="0.2">
      <c r="A154" s="10">
        <v>45990</v>
      </c>
      <c r="B154" s="23" t="s">
        <v>20</v>
      </c>
      <c r="C154" s="85" t="s">
        <v>76</v>
      </c>
      <c r="D154" s="85" t="str">
        <f>Table33[[#This Row],[EVENTO 1 PRESC.]]&amp;" + "&amp;Table33[[#This Row],[EVENTO 2 PRESC.]]</f>
        <v xml:space="preserve"> + </v>
      </c>
      <c r="E154" s="85" t="str">
        <f>Table334[[#This Row],[EVENTO 1 PYP]]&amp;" + "&amp;Table334[[#This Row],[EVENTO 2 PYP]]</f>
        <v xml:space="preserve"> + </v>
      </c>
      <c r="F154" s="85" t="str">
        <f>Table3345[[#This Row],[EVENTO 1 MYP]]&amp;" + "&amp;Table3345[[#This Row],[EVENTO 2 MYP]]</f>
        <v xml:space="preserve"> + </v>
      </c>
      <c r="G154" s="85" t="str">
        <f>Table33456[[#This Row],[EVENTO 1 DP]]&amp;" + "&amp;Table33456[[#This Row],[EVENTO 2 DP]]</f>
        <v xml:space="preserve"> + </v>
      </c>
      <c r="H154" s="85"/>
      <c r="I154" s="88"/>
      <c r="J154" s="88"/>
      <c r="K154" s="20"/>
      <c r="L154" s="26"/>
      <c r="M154" s="8"/>
      <c r="N154" s="8"/>
      <c r="O154" s="29"/>
      <c r="P154" s="29"/>
      <c r="Q154" s="29"/>
      <c r="V154" s="1"/>
    </row>
    <row r="155" spans="1:22" ht="24" hidden="1" x14ac:dyDescent="0.2">
      <c r="A155" s="10">
        <v>45991</v>
      </c>
      <c r="B155" s="23" t="s">
        <v>20</v>
      </c>
      <c r="C155" s="9"/>
      <c r="D155" s="85" t="str">
        <f>Table33[[#This Row],[EVENTO 1 PRESC.]]&amp;" + "&amp;Table33[[#This Row],[EVENTO 2 PRESC.]]</f>
        <v xml:space="preserve"> + </v>
      </c>
      <c r="E155" s="85" t="str">
        <f>Table334[[#This Row],[EVENTO 1 PYP]]&amp;" + "&amp;Table334[[#This Row],[EVENTO 2 PYP]]</f>
        <v xml:space="preserve"> + </v>
      </c>
      <c r="F155" s="85" t="str">
        <f>Table3345[[#This Row],[EVENTO 1 MYP]]&amp;" + "&amp;Table3345[[#This Row],[EVENTO 2 MYP]]</f>
        <v xml:space="preserve"> + </v>
      </c>
      <c r="G155" s="85" t="str">
        <f>Table33456[[#This Row],[EVENTO 1 DP]]&amp;" + "&amp;Table33456[[#This Row],[EVENTO 2 DP]]</f>
        <v xml:space="preserve"> + </v>
      </c>
      <c r="H155" s="85"/>
      <c r="I155" s="88"/>
      <c r="J155" s="88"/>
      <c r="K155" s="20"/>
      <c r="L155" s="26"/>
      <c r="M155" s="8"/>
      <c r="N155" s="8"/>
      <c r="O155" s="29"/>
      <c r="P155" s="29"/>
      <c r="Q155" s="29"/>
      <c r="V155" s="1"/>
    </row>
    <row r="156" spans="1:22" ht="24" hidden="1" x14ac:dyDescent="0.2">
      <c r="A156" s="7">
        <v>45992</v>
      </c>
      <c r="B156" s="33">
        <v>6</v>
      </c>
      <c r="C156" s="6"/>
      <c r="D156" s="91" t="str">
        <f>Table33[[#This Row],[EVENTO 1 PRESC.]]&amp;" + "&amp;Table33[[#This Row],[EVENTO 2 PRESC.]]</f>
        <v xml:space="preserve"> + </v>
      </c>
      <c r="E156" s="91" t="str">
        <f>Table334[[#This Row],[EVENTO 1 PYP]]&amp;" + "&amp;Table334[[#This Row],[EVENTO 2 PYP]]</f>
        <v xml:space="preserve"> + </v>
      </c>
      <c r="F156" s="91" t="str">
        <f>Table3345[[#This Row],[EVENTO 1 MYP]]&amp;" + "&amp;Table3345[[#This Row],[EVENTO 2 MYP]]</f>
        <v xml:space="preserve"> + </v>
      </c>
      <c r="G156" s="91" t="str">
        <f>Table33456[[#This Row],[EVENTO 1 DP]]&amp;" + "&amp;Table33456[[#This Row],[EVENTO 2 DP]]</f>
        <v xml:space="preserve"> + </v>
      </c>
      <c r="H156" s="91"/>
      <c r="I156" s="92"/>
      <c r="J156" s="92"/>
      <c r="K156" s="21">
        <v>11</v>
      </c>
      <c r="L156" s="27">
        <f>1+SUM(L147:L153)</f>
        <v>16</v>
      </c>
      <c r="M156" s="5"/>
      <c r="N156" s="5"/>
      <c r="O156" s="29"/>
      <c r="P156" s="29"/>
      <c r="Q156" s="29"/>
      <c r="V156" s="1"/>
    </row>
    <row r="157" spans="1:22" ht="32" hidden="1" x14ac:dyDescent="0.2">
      <c r="A157" s="7">
        <v>45993</v>
      </c>
      <c r="B157" s="33">
        <v>1</v>
      </c>
      <c r="C157" s="6"/>
      <c r="D157" s="91" t="str">
        <f>Table33[[#This Row],[EVENTO 1 PRESC.]]&amp;" + "&amp;Table33[[#This Row],[EVENTO 2 PRESC.]]</f>
        <v xml:space="preserve"> + </v>
      </c>
      <c r="E157" s="91" t="str">
        <f>Table334[[#This Row],[EVENTO 1 PYP]]&amp;" + "&amp;Table334[[#This Row],[EVENTO 2 PYP]]</f>
        <v xml:space="preserve"> + </v>
      </c>
      <c r="F157" s="91" t="str">
        <f>Table3345[[#This Row],[EVENTO 1 MYP]]&amp;" + "&amp;Table3345[[#This Row],[EVENTO 2 MYP]]</f>
        <v xml:space="preserve">ASAMBLEA PERFIL PENSADORES Y BUENOS COMUNICADORES + </v>
      </c>
      <c r="G157" s="91" t="str">
        <f>Table33456[[#This Row],[EVENTO 1 DP]]&amp;" + "&amp;Table33456[[#This Row],[EVENTO 2 DP]]</f>
        <v xml:space="preserve"> + </v>
      </c>
      <c r="H157" s="91"/>
      <c r="I157" s="92"/>
      <c r="J157" s="92"/>
      <c r="K157" s="21"/>
      <c r="L157" s="27"/>
      <c r="M157" s="5"/>
      <c r="N157" s="5"/>
      <c r="O157" s="29"/>
      <c r="P157" s="29"/>
      <c r="Q157" s="29"/>
      <c r="V157" s="1"/>
    </row>
    <row r="158" spans="1:22" ht="24" hidden="1" x14ac:dyDescent="0.2">
      <c r="A158" s="7">
        <v>45994</v>
      </c>
      <c r="B158" s="33">
        <v>2</v>
      </c>
      <c r="C158" s="6" t="s">
        <v>77</v>
      </c>
      <c r="D158" s="91" t="str">
        <f>Table33[[#This Row],[EVENTO 1 PRESC.]]&amp;" + "&amp;Table33[[#This Row],[EVENTO 2 PRESC.]]</f>
        <v xml:space="preserve"> + </v>
      </c>
      <c r="E158" s="91" t="str">
        <f>Table334[[#This Row],[EVENTO 1 PYP]]&amp;" + "&amp;Table334[[#This Row],[EVENTO 2 PYP]]</f>
        <v xml:space="preserve"> + </v>
      </c>
      <c r="F158" s="91" t="str">
        <f>Table3345[[#This Row],[EVENTO 1 MYP]]&amp;" + "&amp;Table3345[[#This Row],[EVENTO 2 MYP]]</f>
        <v xml:space="preserve"> + </v>
      </c>
      <c r="G158" s="91" t="str">
        <f>Table33456[[#This Row],[EVENTO 1 DP]]&amp;" + "&amp;Table33456[[#This Row],[EVENTO 2 DP]]</f>
        <v xml:space="preserve">G.11 PRE-ICFES  + </v>
      </c>
      <c r="H158" s="91"/>
      <c r="I158" s="92"/>
      <c r="J158" s="92"/>
      <c r="K158" s="21"/>
      <c r="L158" s="27"/>
      <c r="M158" s="5"/>
      <c r="N158" s="5"/>
      <c r="O158" s="29"/>
      <c r="P158" s="29"/>
      <c r="Q158" s="29"/>
      <c r="V158" s="1"/>
    </row>
    <row r="159" spans="1:22" ht="24" hidden="1" x14ac:dyDescent="0.2">
      <c r="A159" s="7">
        <v>45995</v>
      </c>
      <c r="B159" s="33">
        <v>3</v>
      </c>
      <c r="C159" s="6" t="s">
        <v>77</v>
      </c>
      <c r="D159" s="91" t="str">
        <f>Table33[[#This Row],[EVENTO 1 PRESC.]]&amp;" + "&amp;Table33[[#This Row],[EVENTO 2 PRESC.]]</f>
        <v xml:space="preserve"> + </v>
      </c>
      <c r="E159" s="91" t="str">
        <f>Table334[[#This Row],[EVENTO 1 PYP]]&amp;" + "&amp;Table334[[#This Row],[EVENTO 2 PYP]]</f>
        <v xml:space="preserve"> + </v>
      </c>
      <c r="F159" s="91" t="str">
        <f>Table3345[[#This Row],[EVENTO 1 MYP]]&amp;" + "&amp;Table3345[[#This Row],[EVENTO 2 MYP]]</f>
        <v xml:space="preserve"> + </v>
      </c>
      <c r="G159" s="91" t="str">
        <f>Table33456[[#This Row],[EVENTO 1 DP]]&amp;" + "&amp;Table33456[[#This Row],[EVENTO 2 DP]]</f>
        <v xml:space="preserve">G.11 PRE-ICFES + </v>
      </c>
      <c r="H159" s="91"/>
      <c r="I159" s="92"/>
      <c r="J159" s="92"/>
      <c r="K159" s="21"/>
      <c r="L159" s="27"/>
      <c r="M159" s="5"/>
      <c r="N159" s="5"/>
      <c r="O159" s="29"/>
      <c r="P159" s="29"/>
      <c r="Q159" s="29"/>
      <c r="V159" s="1"/>
    </row>
    <row r="160" spans="1:22" ht="24" hidden="1" x14ac:dyDescent="0.2">
      <c r="A160" s="7">
        <v>45996</v>
      </c>
      <c r="B160" s="33">
        <v>4</v>
      </c>
      <c r="C160" s="6" t="s">
        <v>77</v>
      </c>
      <c r="D160" s="91" t="str">
        <f>Table33[[#This Row],[EVENTO 1 PRESC.]]&amp;" + "&amp;Table33[[#This Row],[EVENTO 2 PRESC.]]</f>
        <v xml:space="preserve"> + </v>
      </c>
      <c r="E160" s="91" t="str">
        <f>Table334[[#This Row],[EVENTO 1 PYP]]&amp;" + "&amp;Table334[[#This Row],[EVENTO 2 PYP]]</f>
        <v xml:space="preserve"> + </v>
      </c>
      <c r="F160" s="91" t="str">
        <f>Table3345[[#This Row],[EVENTO 1 MYP]]&amp;" + "&amp;Table3345[[#This Row],[EVENTO 2 MYP]]</f>
        <v xml:space="preserve"> + </v>
      </c>
      <c r="G160" s="91" t="str">
        <f>Table33456[[#This Row],[EVENTO 1 DP]]&amp;" + "&amp;Table33456[[#This Row],[EVENTO 2 DP]]</f>
        <v xml:space="preserve">G.11 PRE-ICFES + </v>
      </c>
      <c r="H160" s="91"/>
      <c r="I160" s="92"/>
      <c r="J160" s="92"/>
      <c r="K160" s="21"/>
      <c r="L160" s="27"/>
      <c r="M160" s="5"/>
      <c r="N160" s="5"/>
      <c r="O160" s="29"/>
      <c r="P160" s="29"/>
      <c r="Q160" s="29"/>
      <c r="V160" s="1"/>
    </row>
    <row r="161" spans="1:22" ht="24" hidden="1" x14ac:dyDescent="0.2">
      <c r="A161" s="10">
        <v>45997</v>
      </c>
      <c r="B161" s="23" t="s">
        <v>20</v>
      </c>
      <c r="C161" s="9"/>
      <c r="D161" s="85" t="str">
        <f>Table33[[#This Row],[EVENTO 1 PRESC.]]&amp;" + "&amp;Table33[[#This Row],[EVENTO 2 PRESC.]]</f>
        <v xml:space="preserve"> + </v>
      </c>
      <c r="E161" s="85" t="str">
        <f>Table334[[#This Row],[EVENTO 1 PYP]]&amp;" + "&amp;Table334[[#This Row],[EVENTO 2 PYP]]</f>
        <v xml:space="preserve"> + </v>
      </c>
      <c r="F161" s="85" t="str">
        <f>Table3345[[#This Row],[EVENTO 1 MYP]]&amp;" + "&amp;Table3345[[#This Row],[EVENTO 2 MYP]]</f>
        <v xml:space="preserve"> + </v>
      </c>
      <c r="G161" s="85" t="str">
        <f>Table33456[[#This Row],[EVENTO 1 DP]]&amp;" + "&amp;Table33456[[#This Row],[EVENTO 2 DP]]</f>
        <v xml:space="preserve"> + </v>
      </c>
      <c r="H161" s="85"/>
      <c r="I161" s="88"/>
      <c r="J161" s="88"/>
      <c r="K161" s="20"/>
      <c r="L161" s="26"/>
      <c r="M161" s="8"/>
      <c r="N161" s="8"/>
      <c r="O161" s="29"/>
      <c r="P161" s="29"/>
      <c r="Q161" s="29"/>
      <c r="V161" s="1"/>
    </row>
    <row r="162" spans="1:22" ht="24" hidden="1" x14ac:dyDescent="0.2">
      <c r="A162" s="10">
        <v>45998</v>
      </c>
      <c r="B162" s="23" t="s">
        <v>20</v>
      </c>
      <c r="C162" s="9"/>
      <c r="D162" s="85" t="str">
        <f>Table33[[#This Row],[EVENTO 1 PRESC.]]&amp;" + "&amp;Table33[[#This Row],[EVENTO 2 PRESC.]]</f>
        <v xml:space="preserve"> + </v>
      </c>
      <c r="E162" s="85" t="str">
        <f>Table334[[#This Row],[EVENTO 1 PYP]]&amp;" + "&amp;Table334[[#This Row],[EVENTO 2 PYP]]</f>
        <v xml:space="preserve"> + </v>
      </c>
      <c r="F162" s="85" t="str">
        <f>Table3345[[#This Row],[EVENTO 1 MYP]]&amp;" + "&amp;Table3345[[#This Row],[EVENTO 2 MYP]]</f>
        <v xml:space="preserve"> + </v>
      </c>
      <c r="G162" s="85" t="str">
        <f>Table33456[[#This Row],[EVENTO 1 DP]]&amp;" + "&amp;Table33456[[#This Row],[EVENTO 2 DP]]</f>
        <v xml:space="preserve"> + </v>
      </c>
      <c r="H162" s="85"/>
      <c r="I162" s="88"/>
      <c r="J162" s="88"/>
      <c r="K162" s="20"/>
      <c r="L162" s="26"/>
      <c r="M162" s="8"/>
      <c r="N162" s="8"/>
      <c r="O162" s="29"/>
      <c r="P162" s="29"/>
      <c r="Q162" s="29"/>
      <c r="V162" s="1"/>
    </row>
    <row r="163" spans="1:22" ht="24" hidden="1" x14ac:dyDescent="0.2">
      <c r="A163" s="10">
        <v>45999</v>
      </c>
      <c r="B163" s="23" t="s">
        <v>17</v>
      </c>
      <c r="C163" s="9"/>
      <c r="D163" s="85" t="str">
        <f>Table33[[#This Row],[EVENTO 1 PRESC.]]&amp;" + "&amp;Table33[[#This Row],[EVENTO 2 PRESC.]]</f>
        <v xml:space="preserve"> + </v>
      </c>
      <c r="E163" s="85" t="str">
        <f>Table334[[#This Row],[EVENTO 1 PYP]]&amp;" + "&amp;Table334[[#This Row],[EVENTO 2 PYP]]</f>
        <v xml:space="preserve"> + </v>
      </c>
      <c r="F163" s="85" t="str">
        <f>Table3345[[#This Row],[EVENTO 1 MYP]]&amp;" + "&amp;Table3345[[#This Row],[EVENTO 2 MYP]]</f>
        <v xml:space="preserve"> + </v>
      </c>
      <c r="G163" s="85" t="str">
        <f>Table33456[[#This Row],[EVENTO 1 DP]]&amp;" + "&amp;Table33456[[#This Row],[EVENTO 2 DP]]</f>
        <v xml:space="preserve"> + </v>
      </c>
      <c r="H163" s="85"/>
      <c r="I163" s="88"/>
      <c r="J163" s="88"/>
      <c r="K163" s="20"/>
      <c r="L163" s="26"/>
      <c r="M163" s="8"/>
      <c r="N163" s="8"/>
      <c r="O163" s="29"/>
      <c r="P163" s="29"/>
      <c r="Q163" s="29"/>
      <c r="V163" s="1"/>
    </row>
    <row r="164" spans="1:22" ht="24" hidden="1" x14ac:dyDescent="0.2">
      <c r="A164" s="7">
        <v>46000</v>
      </c>
      <c r="B164" s="33">
        <v>5</v>
      </c>
      <c r="C164" s="6" t="s">
        <v>77</v>
      </c>
      <c r="D164" s="91" t="str">
        <f>Table33[[#This Row],[EVENTO 1 PRESC.]]&amp;" + "&amp;Table33[[#This Row],[EVENTO 2 PRESC.]]</f>
        <v xml:space="preserve"> + </v>
      </c>
      <c r="E164" s="91" t="str">
        <f>Table334[[#This Row],[EVENTO 1 PYP]]&amp;" + "&amp;Table334[[#This Row],[EVENTO 2 PYP]]</f>
        <v xml:space="preserve"> + </v>
      </c>
      <c r="F164" s="91" t="str">
        <f>Table3345[[#This Row],[EVENTO 1 MYP]]&amp;" + "&amp;Table3345[[#This Row],[EVENTO 2 MYP]]</f>
        <v xml:space="preserve"> + </v>
      </c>
      <c r="G164" s="91" t="str">
        <f>Table33456[[#This Row],[EVENTO 1 DP]]&amp;" + "&amp;Table33456[[#This Row],[EVENTO 2 DP]]</f>
        <v xml:space="preserve">G.11 PRE-ICFES + </v>
      </c>
      <c r="H164" s="91"/>
      <c r="I164" s="92"/>
      <c r="J164" s="92"/>
      <c r="K164" s="21"/>
      <c r="L164" s="27">
        <f>1+SUM(L155:L161)</f>
        <v>17</v>
      </c>
      <c r="M164" s="5"/>
      <c r="N164" s="5"/>
      <c r="O164" s="29"/>
      <c r="P164" s="29"/>
      <c r="Q164" s="29"/>
      <c r="V164" s="1"/>
    </row>
    <row r="165" spans="1:22" ht="64" hidden="1" x14ac:dyDescent="0.2">
      <c r="A165" s="7">
        <v>46001</v>
      </c>
      <c r="B165" s="33">
        <v>6</v>
      </c>
      <c r="C165" s="6" t="s">
        <v>77</v>
      </c>
      <c r="D165" s="91" t="str">
        <f>Table33[[#This Row],[EVENTO 1 PRESC.]]&amp;" + "&amp;Table33[[#This Row],[EVENTO 2 PRESC.]]</f>
        <v xml:space="preserve"> + </v>
      </c>
      <c r="E165" s="91" t="str">
        <f>Table334[[#This Row],[EVENTO 1 PYP]]&amp;" + "&amp;Table334[[#This Row],[EVENTO 2 PYP]]</f>
        <v xml:space="preserve"> + </v>
      </c>
      <c r="F165" s="91" t="str">
        <f>Table3345[[#This Row],[EVENTO 1 MYP]]&amp;" + "&amp;Table3345[[#This Row],[EVENTO 2 MYP]]</f>
        <v xml:space="preserve"> + </v>
      </c>
      <c r="G165" s="91" t="str">
        <f>Table33456[[#This Row],[EVENTO 1 DP]]&amp;" + "&amp;Table33456[[#This Row],[EVENTO 2 DP]]</f>
        <v xml:space="preserve">G.11 PRE-ICFES Simulacro + </v>
      </c>
      <c r="H165" s="91" t="s">
        <v>78</v>
      </c>
      <c r="I165" s="92"/>
      <c r="J165" s="92"/>
      <c r="K165" s="21">
        <v>12</v>
      </c>
      <c r="L165" s="27"/>
      <c r="M165" s="5"/>
      <c r="N165" s="5"/>
      <c r="O165" s="29"/>
      <c r="P165" s="29"/>
      <c r="Q165" s="29"/>
      <c r="V165" s="1"/>
    </row>
    <row r="166" spans="1:22" ht="24" hidden="1" x14ac:dyDescent="0.2">
      <c r="A166" s="7">
        <v>46002</v>
      </c>
      <c r="B166" s="33">
        <v>1</v>
      </c>
      <c r="C166" s="6" t="s">
        <v>77</v>
      </c>
      <c r="D166" s="91" t="str">
        <f>Table33[[#This Row],[EVENTO 1 PRESC.]]&amp;" + "&amp;Table33[[#This Row],[EVENTO 2 PRESC.]]</f>
        <v xml:space="preserve"> + </v>
      </c>
      <c r="E166" s="91" t="str">
        <f>Table334[[#This Row],[EVENTO 1 PYP]]&amp;" + "&amp;Table334[[#This Row],[EVENTO 2 PYP]]</f>
        <v xml:space="preserve"> + </v>
      </c>
      <c r="F166" s="91" t="str">
        <f>Table3345[[#This Row],[EVENTO 1 MYP]]&amp;" + "&amp;Table3345[[#This Row],[EVENTO 2 MYP]]</f>
        <v xml:space="preserve"> + </v>
      </c>
      <c r="G166" s="91" t="str">
        <f>Table33456[[#This Row],[EVENTO 1 DP]]&amp;" + "&amp;Table33456[[#This Row],[EVENTO 2 DP]]</f>
        <v xml:space="preserve"> + </v>
      </c>
      <c r="H166" s="91"/>
      <c r="I166" s="92"/>
      <c r="J166" s="92"/>
      <c r="K166" s="21"/>
      <c r="L166" s="27"/>
      <c r="M166" s="5"/>
      <c r="N166" s="5"/>
      <c r="O166" s="29"/>
      <c r="P166" s="29" t="s">
        <v>79</v>
      </c>
      <c r="Q166" s="29"/>
      <c r="V166" s="1"/>
    </row>
    <row r="167" spans="1:22" ht="24" hidden="1" x14ac:dyDescent="0.2">
      <c r="A167" s="7">
        <v>46003</v>
      </c>
      <c r="B167" s="33">
        <v>2</v>
      </c>
      <c r="C167" s="6" t="s">
        <v>77</v>
      </c>
      <c r="D167" s="91" t="str">
        <f>Table33[[#This Row],[EVENTO 1 PRESC.]]&amp;" + "&amp;Table33[[#This Row],[EVENTO 2 PRESC.]]</f>
        <v xml:space="preserve"> + </v>
      </c>
      <c r="E167" s="91" t="str">
        <f>Table334[[#This Row],[EVENTO 1 PYP]]&amp;" + "&amp;Table334[[#This Row],[EVENTO 2 PYP]]</f>
        <v xml:space="preserve"> + </v>
      </c>
      <c r="F167" s="91" t="str">
        <f>Table3345[[#This Row],[EVENTO 1 MYP]]&amp;" + "&amp;Table3345[[#This Row],[EVENTO 2 MYP]]</f>
        <v xml:space="preserve">CEREMONIA CONFIRMACIÓN + </v>
      </c>
      <c r="G167" s="91" t="str">
        <f>Table33456[[#This Row],[EVENTO 1 DP]]&amp;" + "&amp;Table33456[[#This Row],[EVENTO 2 DP]]</f>
        <v xml:space="preserve"> + </v>
      </c>
      <c r="H167" s="91"/>
      <c r="I167" s="92"/>
      <c r="J167" s="92"/>
      <c r="K167" s="21"/>
      <c r="L167" s="27"/>
      <c r="M167" s="5"/>
      <c r="N167" s="5"/>
      <c r="O167" s="29"/>
      <c r="P167" s="29" t="s">
        <v>80</v>
      </c>
      <c r="Q167" s="29"/>
      <c r="V167" s="1"/>
    </row>
    <row r="168" spans="1:22" ht="24" hidden="1" x14ac:dyDescent="0.2">
      <c r="A168" s="10">
        <v>46004</v>
      </c>
      <c r="B168" s="23" t="s">
        <v>20</v>
      </c>
      <c r="C168" s="9"/>
      <c r="D168" s="85" t="str">
        <f>Table33[[#This Row],[EVENTO 1 PRESC.]]&amp;" + "&amp;Table33[[#This Row],[EVENTO 2 PRESC.]]</f>
        <v xml:space="preserve"> + </v>
      </c>
      <c r="E168" s="85" t="str">
        <f>Table334[[#This Row],[EVENTO 1 PYP]]&amp;" + "&amp;Table334[[#This Row],[EVENTO 2 PYP]]</f>
        <v xml:space="preserve"> + </v>
      </c>
      <c r="F168" s="85" t="str">
        <f>Table3345[[#This Row],[EVENTO 1 MYP]]&amp;" + "&amp;Table3345[[#This Row],[EVENTO 2 MYP]]</f>
        <v xml:space="preserve"> + </v>
      </c>
      <c r="G168" s="85" t="str">
        <f>Table33456[[#This Row],[EVENTO 1 DP]]&amp;" + "&amp;Table33456[[#This Row],[EVENTO 2 DP]]</f>
        <v xml:space="preserve"> + </v>
      </c>
      <c r="H168" s="85"/>
      <c r="I168" s="88"/>
      <c r="J168" s="88"/>
      <c r="K168" s="20"/>
      <c r="L168" s="26"/>
      <c r="M168" s="8"/>
      <c r="N168" s="8"/>
      <c r="O168" s="29" t="s">
        <v>81</v>
      </c>
      <c r="P168" s="29" t="s">
        <v>81</v>
      </c>
      <c r="Q168" s="29" t="s">
        <v>81</v>
      </c>
      <c r="V168" s="1"/>
    </row>
    <row r="169" spans="1:22" ht="24" hidden="1" x14ac:dyDescent="0.2">
      <c r="A169" s="10">
        <v>46005</v>
      </c>
      <c r="B169" s="23" t="s">
        <v>20</v>
      </c>
      <c r="C169" s="9"/>
      <c r="D169" s="85" t="str">
        <f>Table33[[#This Row],[EVENTO 1 PRESC.]]&amp;" + "&amp;Table33[[#This Row],[EVENTO 2 PRESC.]]</f>
        <v xml:space="preserve"> + </v>
      </c>
      <c r="E169" s="85" t="str">
        <f>Table334[[#This Row],[EVENTO 1 PYP]]&amp;" + "&amp;Table334[[#This Row],[EVENTO 2 PYP]]</f>
        <v xml:space="preserve"> + </v>
      </c>
      <c r="F169" s="85" t="str">
        <f>Table3345[[#This Row],[EVENTO 1 MYP]]&amp;" + "&amp;Table3345[[#This Row],[EVENTO 2 MYP]]</f>
        <v xml:space="preserve"> + </v>
      </c>
      <c r="G169" s="85" t="str">
        <f>Table33456[[#This Row],[EVENTO 1 DP]]&amp;" + "&amp;Table33456[[#This Row],[EVENTO 2 DP]]</f>
        <v xml:space="preserve"> + </v>
      </c>
      <c r="H169" s="85"/>
      <c r="I169" s="88"/>
      <c r="J169" s="88"/>
      <c r="K169" s="20"/>
      <c r="L169" s="26"/>
      <c r="M169" s="8"/>
      <c r="N169" s="8"/>
      <c r="O169" s="29" t="s">
        <v>81</v>
      </c>
      <c r="P169" s="29" t="s">
        <v>81</v>
      </c>
      <c r="Q169" s="29" t="s">
        <v>81</v>
      </c>
      <c r="V169" s="1"/>
    </row>
    <row r="170" spans="1:22" ht="32" hidden="1" x14ac:dyDescent="0.2">
      <c r="A170" s="7">
        <v>46006</v>
      </c>
      <c r="B170" s="24" t="s">
        <v>51</v>
      </c>
      <c r="C170" s="6" t="s">
        <v>82</v>
      </c>
      <c r="D170" s="91" t="str">
        <f>Table33[[#This Row],[EVENTO 1 PRESC.]]&amp;" + "&amp;Table33[[#This Row],[EVENTO 2 PRESC.]]</f>
        <v xml:space="preserve">Navidad Compartida + </v>
      </c>
      <c r="E170" s="91" t="str">
        <f>Table334[[#This Row],[EVENTO 1 PYP]]&amp;" + "&amp;Table334[[#This Row],[EVENTO 2 PYP]]</f>
        <v xml:space="preserve">Navidad Compartida + </v>
      </c>
      <c r="F170" s="91" t="str">
        <f>Table3345[[#This Row],[EVENTO 1 MYP]]&amp;" + "&amp;Table3345[[#This Row],[EVENTO 2 MYP]]</f>
        <v>Limite de Notas + Visita al banco de alimentos grado octavo</v>
      </c>
      <c r="G170" s="91" t="str">
        <f>Table33456[[#This Row],[EVENTO 1 DP]]&amp;" + "&amp;Table33456[[#This Row],[EVENTO 2 DP]]</f>
        <v xml:space="preserve"> + </v>
      </c>
      <c r="H170" s="91"/>
      <c r="I170" s="92"/>
      <c r="J170" s="92"/>
      <c r="K170" s="21"/>
      <c r="L170" s="27">
        <f>1+SUM(L161:L167)</f>
        <v>18</v>
      </c>
      <c r="M170" s="5"/>
      <c r="N170" s="5"/>
      <c r="O170" s="29" t="s">
        <v>81</v>
      </c>
      <c r="P170" s="29" t="s">
        <v>81</v>
      </c>
      <c r="Q170" s="29" t="s">
        <v>81</v>
      </c>
      <c r="V170" s="1"/>
    </row>
    <row r="171" spans="1:22" ht="32" hidden="1" x14ac:dyDescent="0.2">
      <c r="A171" s="37">
        <v>46007</v>
      </c>
      <c r="B171" s="38" t="s">
        <v>51</v>
      </c>
      <c r="C171" s="39" t="s">
        <v>83</v>
      </c>
      <c r="D171" s="95" t="str">
        <f>Table33[[#This Row],[EVENTO 1 PRESC.]]&amp;" + "&amp;Table33[[#This Row],[EVENTO 2 PRESC.]]</f>
        <v>Navidad Compartida + K5 Flea Market</v>
      </c>
      <c r="E171" s="95" t="str">
        <f>Table334[[#This Row],[EVENTO 1 PYP]]&amp;" + "&amp;Table334[[#This Row],[EVENTO 2 PYP]]</f>
        <v xml:space="preserve">Navidad Compartida + </v>
      </c>
      <c r="F171" s="95" t="str">
        <f>Table3345[[#This Row],[EVENTO 1 MYP]]&amp;" + "&amp;Table3345[[#This Row],[EVENTO 2 MYP]]</f>
        <v xml:space="preserve"> + </v>
      </c>
      <c r="G171" s="95" t="str">
        <f>Table33456[[#This Row],[EVENTO 1 DP]]&amp;" + "&amp;Table33456[[#This Row],[EVENTO 2 DP]]</f>
        <v xml:space="preserve"> + </v>
      </c>
      <c r="H171" s="95"/>
      <c r="I171" s="96"/>
      <c r="J171" s="96"/>
      <c r="K171" s="40"/>
      <c r="L171" s="41"/>
      <c r="M171" s="42"/>
      <c r="N171" s="42"/>
      <c r="O171" s="43" t="s">
        <v>81</v>
      </c>
      <c r="P171" s="43" t="s">
        <v>81</v>
      </c>
      <c r="Q171" s="43" t="s">
        <v>81</v>
      </c>
      <c r="V171" s="1"/>
    </row>
    <row r="172" spans="1:22" ht="24" hidden="1" x14ac:dyDescent="0.2">
      <c r="A172" s="10">
        <v>46008</v>
      </c>
      <c r="B172" s="23" t="s">
        <v>84</v>
      </c>
      <c r="C172" s="9"/>
      <c r="D172" s="85" t="str">
        <f>Table33[[#This Row],[EVENTO 1 PRESC.]]&amp;" + "&amp;Table33[[#This Row],[EVENTO 2 PRESC.]]</f>
        <v xml:space="preserve"> + </v>
      </c>
      <c r="E172" s="85" t="str">
        <f>Table334[[#This Row],[EVENTO 1 PYP]]&amp;" + "&amp;Table334[[#This Row],[EVENTO 2 PYP]]</f>
        <v xml:space="preserve"> + </v>
      </c>
      <c r="F172" s="85" t="str">
        <f>Table3345[[#This Row],[EVENTO 1 MYP]]&amp;" + "&amp;Table3345[[#This Row],[EVENTO 2 MYP]]</f>
        <v xml:space="preserve"> + </v>
      </c>
      <c r="G172" s="85" t="str">
        <f>Table33456[[#This Row],[EVENTO 1 DP]]&amp;" + "&amp;Table33456[[#This Row],[EVENTO 2 DP]]</f>
        <v xml:space="preserve"> + </v>
      </c>
      <c r="H172" s="85"/>
      <c r="I172" s="88"/>
      <c r="J172" s="88"/>
      <c r="K172" s="20"/>
      <c r="L172" s="26"/>
      <c r="M172" s="8"/>
      <c r="N172" s="8"/>
      <c r="O172" s="29" t="s">
        <v>81</v>
      </c>
      <c r="P172" s="29" t="s">
        <v>81</v>
      </c>
      <c r="Q172" s="29" t="s">
        <v>81</v>
      </c>
      <c r="V172" s="1"/>
    </row>
    <row r="173" spans="1:22" ht="24" hidden="1" x14ac:dyDescent="0.2">
      <c r="A173" s="10">
        <v>46009</v>
      </c>
      <c r="B173" s="23" t="s">
        <v>84</v>
      </c>
      <c r="C173" s="9"/>
      <c r="D173" s="85" t="str">
        <f>Table33[[#This Row],[EVENTO 1 PRESC.]]&amp;" + "&amp;Table33[[#This Row],[EVENTO 2 PRESC.]]</f>
        <v xml:space="preserve"> + </v>
      </c>
      <c r="E173" s="85" t="str">
        <f>Table334[[#This Row],[EVENTO 1 PYP]]&amp;" + "&amp;Table334[[#This Row],[EVENTO 2 PYP]]</f>
        <v xml:space="preserve"> + </v>
      </c>
      <c r="F173" s="85" t="str">
        <f>Table3345[[#This Row],[EVENTO 1 MYP]]&amp;" + "&amp;Table3345[[#This Row],[EVENTO 2 MYP]]</f>
        <v xml:space="preserve"> + </v>
      </c>
      <c r="G173" s="85" t="str">
        <f>Table33456[[#This Row],[EVENTO 1 DP]]&amp;" + "&amp;Table33456[[#This Row],[EVENTO 2 DP]]</f>
        <v xml:space="preserve"> + </v>
      </c>
      <c r="H173" s="85"/>
      <c r="I173" s="88"/>
      <c r="J173" s="88"/>
      <c r="K173" s="20"/>
      <c r="L173" s="26"/>
      <c r="M173" s="8"/>
      <c r="N173" s="8"/>
      <c r="O173" s="29" t="s">
        <v>81</v>
      </c>
      <c r="P173" s="29" t="s">
        <v>81</v>
      </c>
      <c r="Q173" s="29" t="s">
        <v>81</v>
      </c>
      <c r="V173" s="1"/>
    </row>
    <row r="174" spans="1:22" ht="24" hidden="1" x14ac:dyDescent="0.2">
      <c r="A174" s="10">
        <v>46010</v>
      </c>
      <c r="B174" s="23" t="s">
        <v>84</v>
      </c>
      <c r="C174" s="9"/>
      <c r="D174" s="85" t="str">
        <f>Table33[[#This Row],[EVENTO 1 PRESC.]]&amp;" + "&amp;Table33[[#This Row],[EVENTO 2 PRESC.]]</f>
        <v xml:space="preserve"> + </v>
      </c>
      <c r="E174" s="85" t="str">
        <f>Table334[[#This Row],[EVENTO 1 PYP]]&amp;" + "&amp;Table334[[#This Row],[EVENTO 2 PYP]]</f>
        <v xml:space="preserve"> + </v>
      </c>
      <c r="F174" s="85" t="str">
        <f>Table3345[[#This Row],[EVENTO 1 MYP]]&amp;" + "&amp;Table3345[[#This Row],[EVENTO 2 MYP]]</f>
        <v xml:space="preserve"> + </v>
      </c>
      <c r="G174" s="85" t="str">
        <f>Table33456[[#This Row],[EVENTO 1 DP]]&amp;" + "&amp;Table33456[[#This Row],[EVENTO 2 DP]]</f>
        <v xml:space="preserve"> + </v>
      </c>
      <c r="H174" s="85"/>
      <c r="I174" s="88"/>
      <c r="J174" s="88"/>
      <c r="K174" s="20"/>
      <c r="L174" s="26"/>
      <c r="M174" s="8"/>
      <c r="N174" s="8"/>
      <c r="O174" s="29" t="s">
        <v>81</v>
      </c>
      <c r="P174" s="29" t="s">
        <v>81</v>
      </c>
      <c r="Q174" s="29" t="s">
        <v>81</v>
      </c>
      <c r="V174" s="1"/>
    </row>
    <row r="175" spans="1:22" ht="24" hidden="1" x14ac:dyDescent="0.2">
      <c r="A175" s="10">
        <v>46011</v>
      </c>
      <c r="B175" s="23" t="s">
        <v>20</v>
      </c>
      <c r="C175" s="9"/>
      <c r="D175" s="85" t="str">
        <f>Table33[[#This Row],[EVENTO 1 PRESC.]]&amp;" + "&amp;Table33[[#This Row],[EVENTO 2 PRESC.]]</f>
        <v xml:space="preserve"> + </v>
      </c>
      <c r="E175" s="85" t="str">
        <f>Table334[[#This Row],[EVENTO 1 PYP]]&amp;" + "&amp;Table334[[#This Row],[EVENTO 2 PYP]]</f>
        <v xml:space="preserve"> + </v>
      </c>
      <c r="F175" s="85" t="str">
        <f>Table3345[[#This Row],[EVENTO 1 MYP]]&amp;" + "&amp;Table3345[[#This Row],[EVENTO 2 MYP]]</f>
        <v xml:space="preserve"> + </v>
      </c>
      <c r="G175" s="85" t="str">
        <f>Table33456[[#This Row],[EVENTO 1 DP]]&amp;" + "&amp;Table33456[[#This Row],[EVENTO 2 DP]]</f>
        <v xml:space="preserve"> + </v>
      </c>
      <c r="H175" s="85"/>
      <c r="I175" s="88"/>
      <c r="J175" s="88"/>
      <c r="K175" s="20"/>
      <c r="L175" s="26"/>
      <c r="M175" s="8"/>
      <c r="N175" s="8"/>
      <c r="O175" s="29" t="s">
        <v>81</v>
      </c>
      <c r="P175" s="29" t="s">
        <v>81</v>
      </c>
      <c r="Q175" s="29" t="s">
        <v>81</v>
      </c>
      <c r="V175" s="1"/>
    </row>
    <row r="176" spans="1:22" ht="24" hidden="1" x14ac:dyDescent="0.2">
      <c r="A176" s="10">
        <v>46012</v>
      </c>
      <c r="B176" s="23" t="s">
        <v>20</v>
      </c>
      <c r="C176" s="9"/>
      <c r="D176" s="85" t="str">
        <f>Table33[[#This Row],[EVENTO 1 PRESC.]]&amp;" + "&amp;Table33[[#This Row],[EVENTO 2 PRESC.]]</f>
        <v xml:space="preserve"> + </v>
      </c>
      <c r="E176" s="85" t="str">
        <f>Table334[[#This Row],[EVENTO 1 PYP]]&amp;" + "&amp;Table334[[#This Row],[EVENTO 2 PYP]]</f>
        <v xml:space="preserve"> + </v>
      </c>
      <c r="F176" s="85" t="str">
        <f>Table3345[[#This Row],[EVENTO 1 MYP]]&amp;" + "&amp;Table3345[[#This Row],[EVENTO 2 MYP]]</f>
        <v xml:space="preserve"> + </v>
      </c>
      <c r="G176" s="85" t="str">
        <f>Table33456[[#This Row],[EVENTO 1 DP]]&amp;" + "&amp;Table33456[[#This Row],[EVENTO 2 DP]]</f>
        <v xml:space="preserve"> + </v>
      </c>
      <c r="H176" s="85"/>
      <c r="I176" s="88"/>
      <c r="J176" s="88"/>
      <c r="K176" s="20"/>
      <c r="L176" s="26"/>
      <c r="M176" s="8"/>
      <c r="N176" s="8"/>
      <c r="O176" s="29" t="s">
        <v>81</v>
      </c>
      <c r="P176" s="29" t="s">
        <v>81</v>
      </c>
      <c r="Q176" s="29" t="s">
        <v>81</v>
      </c>
      <c r="V176" s="1"/>
    </row>
    <row r="177" spans="1:22" ht="24" hidden="1" x14ac:dyDescent="0.2">
      <c r="A177" s="10">
        <v>46013</v>
      </c>
      <c r="B177" s="23" t="s">
        <v>84</v>
      </c>
      <c r="C177" s="9"/>
      <c r="D177" s="85" t="str">
        <f>Table33[[#This Row],[EVENTO 1 PRESC.]]&amp;" + "&amp;Table33[[#This Row],[EVENTO 2 PRESC.]]</f>
        <v xml:space="preserve"> + </v>
      </c>
      <c r="E177" s="85" t="str">
        <f>Table334[[#This Row],[EVENTO 1 PYP]]&amp;" + "&amp;Table334[[#This Row],[EVENTO 2 PYP]]</f>
        <v xml:space="preserve"> + </v>
      </c>
      <c r="F177" s="85" t="str">
        <f>Table3345[[#This Row],[EVENTO 1 MYP]]&amp;" + "&amp;Table3345[[#This Row],[EVENTO 2 MYP]]</f>
        <v xml:space="preserve"> + </v>
      </c>
      <c r="G177" s="85" t="str">
        <f>Table33456[[#This Row],[EVENTO 1 DP]]&amp;" + "&amp;Table33456[[#This Row],[EVENTO 2 DP]]</f>
        <v xml:space="preserve"> + </v>
      </c>
      <c r="H177" s="85"/>
      <c r="I177" s="88"/>
      <c r="J177" s="88"/>
      <c r="K177" s="20"/>
      <c r="L177" s="26"/>
      <c r="M177" s="8"/>
      <c r="N177" s="8"/>
      <c r="O177" s="29" t="s">
        <v>81</v>
      </c>
      <c r="P177" s="29" t="s">
        <v>81</v>
      </c>
      <c r="Q177" s="29" t="s">
        <v>81</v>
      </c>
      <c r="V177" s="1"/>
    </row>
    <row r="178" spans="1:22" ht="24" hidden="1" x14ac:dyDescent="0.2">
      <c r="A178" s="10">
        <v>46014</v>
      </c>
      <c r="B178" s="23" t="s">
        <v>84</v>
      </c>
      <c r="C178" s="9"/>
      <c r="D178" s="85" t="str">
        <f>Table33[[#This Row],[EVENTO 1 PRESC.]]&amp;" + "&amp;Table33[[#This Row],[EVENTO 2 PRESC.]]</f>
        <v xml:space="preserve"> + </v>
      </c>
      <c r="E178" s="85" t="str">
        <f>Table334[[#This Row],[EVENTO 1 PYP]]&amp;" + "&amp;Table334[[#This Row],[EVENTO 2 PYP]]</f>
        <v xml:space="preserve"> + </v>
      </c>
      <c r="F178" s="85" t="str">
        <f>Table3345[[#This Row],[EVENTO 1 MYP]]&amp;" + "&amp;Table3345[[#This Row],[EVENTO 2 MYP]]</f>
        <v xml:space="preserve"> + </v>
      </c>
      <c r="G178" s="85" t="str">
        <f>Table33456[[#This Row],[EVENTO 1 DP]]&amp;" + "&amp;Table33456[[#This Row],[EVENTO 2 DP]]</f>
        <v xml:space="preserve"> + </v>
      </c>
      <c r="H178" s="85"/>
      <c r="I178" s="88"/>
      <c r="J178" s="88"/>
      <c r="K178" s="20"/>
      <c r="L178" s="26"/>
      <c r="M178" s="8"/>
      <c r="N178" s="8"/>
      <c r="O178" s="29" t="s">
        <v>81</v>
      </c>
      <c r="P178" s="29" t="s">
        <v>81</v>
      </c>
      <c r="Q178" s="29" t="s">
        <v>81</v>
      </c>
      <c r="V178" s="1"/>
    </row>
    <row r="179" spans="1:22" ht="24" hidden="1" x14ac:dyDescent="0.2">
      <c r="A179" s="10">
        <v>46015</v>
      </c>
      <c r="B179" s="23" t="s">
        <v>84</v>
      </c>
      <c r="C179" s="9"/>
      <c r="D179" s="85" t="str">
        <f>Table33[[#This Row],[EVENTO 1 PRESC.]]&amp;" + "&amp;Table33[[#This Row],[EVENTO 2 PRESC.]]</f>
        <v xml:space="preserve"> + </v>
      </c>
      <c r="E179" s="85" t="str">
        <f>Table334[[#This Row],[EVENTO 1 PYP]]&amp;" + "&amp;Table334[[#This Row],[EVENTO 2 PYP]]</f>
        <v xml:space="preserve"> + </v>
      </c>
      <c r="F179" s="85" t="str">
        <f>Table3345[[#This Row],[EVENTO 1 MYP]]&amp;" + "&amp;Table3345[[#This Row],[EVENTO 2 MYP]]</f>
        <v xml:space="preserve"> + </v>
      </c>
      <c r="G179" s="85" t="str">
        <f>Table33456[[#This Row],[EVENTO 1 DP]]&amp;" + "&amp;Table33456[[#This Row],[EVENTO 2 DP]]</f>
        <v xml:space="preserve"> + </v>
      </c>
      <c r="H179" s="85"/>
      <c r="I179" s="88"/>
      <c r="J179" s="88"/>
      <c r="K179" s="20"/>
      <c r="L179" s="26"/>
      <c r="M179" s="8"/>
      <c r="N179" s="8"/>
      <c r="O179" s="29" t="s">
        <v>81</v>
      </c>
      <c r="P179" s="29" t="s">
        <v>81</v>
      </c>
      <c r="Q179" s="29" t="s">
        <v>81</v>
      </c>
      <c r="V179" s="1"/>
    </row>
    <row r="180" spans="1:22" ht="24" hidden="1" x14ac:dyDescent="0.2">
      <c r="A180" s="10">
        <v>46016</v>
      </c>
      <c r="B180" s="23" t="s">
        <v>17</v>
      </c>
      <c r="C180" s="9"/>
      <c r="D180" s="85" t="str">
        <f>Table33[[#This Row],[EVENTO 1 PRESC.]]&amp;" + "&amp;Table33[[#This Row],[EVENTO 2 PRESC.]]</f>
        <v xml:space="preserve"> + </v>
      </c>
      <c r="E180" s="85" t="str">
        <f>Table334[[#This Row],[EVENTO 1 PYP]]&amp;" + "&amp;Table334[[#This Row],[EVENTO 2 PYP]]</f>
        <v xml:space="preserve"> + </v>
      </c>
      <c r="F180" s="85" t="str">
        <f>Table3345[[#This Row],[EVENTO 1 MYP]]&amp;" + "&amp;Table3345[[#This Row],[EVENTO 2 MYP]]</f>
        <v xml:space="preserve"> + </v>
      </c>
      <c r="G180" s="85" t="str">
        <f>Table33456[[#This Row],[EVENTO 1 DP]]&amp;" + "&amp;Table33456[[#This Row],[EVENTO 2 DP]]</f>
        <v xml:space="preserve"> + </v>
      </c>
      <c r="H180" s="85"/>
      <c r="I180" s="88"/>
      <c r="J180" s="88"/>
      <c r="K180" s="20"/>
      <c r="L180" s="26"/>
      <c r="M180" s="8"/>
      <c r="N180" s="8"/>
      <c r="O180" s="29" t="s">
        <v>81</v>
      </c>
      <c r="P180" s="29" t="s">
        <v>81</v>
      </c>
      <c r="Q180" s="29" t="s">
        <v>81</v>
      </c>
      <c r="V180" s="1"/>
    </row>
    <row r="181" spans="1:22" ht="24" hidden="1" x14ac:dyDescent="0.2">
      <c r="A181" s="10">
        <v>46017</v>
      </c>
      <c r="B181" s="23" t="s">
        <v>84</v>
      </c>
      <c r="C181" s="9"/>
      <c r="D181" s="85" t="str">
        <f>Table33[[#This Row],[EVENTO 1 PRESC.]]&amp;" + "&amp;Table33[[#This Row],[EVENTO 2 PRESC.]]</f>
        <v xml:space="preserve"> + </v>
      </c>
      <c r="E181" s="85" t="str">
        <f>Table334[[#This Row],[EVENTO 1 PYP]]&amp;" + "&amp;Table334[[#This Row],[EVENTO 2 PYP]]</f>
        <v xml:space="preserve"> + </v>
      </c>
      <c r="F181" s="85" t="str">
        <f>Table3345[[#This Row],[EVENTO 1 MYP]]&amp;" + "&amp;Table3345[[#This Row],[EVENTO 2 MYP]]</f>
        <v xml:space="preserve"> + </v>
      </c>
      <c r="G181" s="85" t="str">
        <f>Table33456[[#This Row],[EVENTO 1 DP]]&amp;" + "&amp;Table33456[[#This Row],[EVENTO 2 DP]]</f>
        <v xml:space="preserve"> + </v>
      </c>
      <c r="H181" s="85"/>
      <c r="I181" s="88"/>
      <c r="J181" s="88"/>
      <c r="K181" s="20"/>
      <c r="L181" s="26"/>
      <c r="M181" s="8"/>
      <c r="N181" s="8"/>
      <c r="O181" s="29" t="s">
        <v>81</v>
      </c>
      <c r="P181" s="29" t="s">
        <v>81</v>
      </c>
      <c r="Q181" s="29" t="s">
        <v>81</v>
      </c>
      <c r="V181" s="1"/>
    </row>
    <row r="182" spans="1:22" ht="24" hidden="1" x14ac:dyDescent="0.2">
      <c r="A182" s="10">
        <v>46018</v>
      </c>
      <c r="B182" s="23" t="s">
        <v>20</v>
      </c>
      <c r="C182" s="9"/>
      <c r="D182" s="85" t="str">
        <f>Table33[[#This Row],[EVENTO 1 PRESC.]]&amp;" + "&amp;Table33[[#This Row],[EVENTO 2 PRESC.]]</f>
        <v xml:space="preserve"> + </v>
      </c>
      <c r="E182" s="85" t="str">
        <f>Table334[[#This Row],[EVENTO 1 PYP]]&amp;" + "&amp;Table334[[#This Row],[EVENTO 2 PYP]]</f>
        <v xml:space="preserve"> + </v>
      </c>
      <c r="F182" s="85" t="str">
        <f>Table3345[[#This Row],[EVENTO 1 MYP]]&amp;" + "&amp;Table3345[[#This Row],[EVENTO 2 MYP]]</f>
        <v xml:space="preserve"> + </v>
      </c>
      <c r="G182" s="85" t="str">
        <f>Table33456[[#This Row],[EVENTO 1 DP]]&amp;" + "&amp;Table33456[[#This Row],[EVENTO 2 DP]]</f>
        <v xml:space="preserve"> + </v>
      </c>
      <c r="H182" s="85"/>
      <c r="I182" s="88"/>
      <c r="J182" s="88"/>
      <c r="K182" s="20"/>
      <c r="L182" s="26"/>
      <c r="M182" s="8"/>
      <c r="N182" s="8"/>
      <c r="O182" s="29" t="s">
        <v>81</v>
      </c>
      <c r="P182" s="29" t="s">
        <v>81</v>
      </c>
      <c r="Q182" s="29" t="s">
        <v>81</v>
      </c>
      <c r="V182" s="1"/>
    </row>
    <row r="183" spans="1:22" ht="24" hidden="1" x14ac:dyDescent="0.2">
      <c r="A183" s="10">
        <v>46019</v>
      </c>
      <c r="B183" s="23" t="s">
        <v>20</v>
      </c>
      <c r="C183" s="9"/>
      <c r="D183" s="85" t="str">
        <f>Table33[[#This Row],[EVENTO 1 PRESC.]]&amp;" + "&amp;Table33[[#This Row],[EVENTO 2 PRESC.]]</f>
        <v xml:space="preserve"> + </v>
      </c>
      <c r="E183" s="85" t="str">
        <f>Table334[[#This Row],[EVENTO 1 PYP]]&amp;" + "&amp;Table334[[#This Row],[EVENTO 2 PYP]]</f>
        <v xml:space="preserve"> + </v>
      </c>
      <c r="F183" s="85" t="str">
        <f>Table3345[[#This Row],[EVENTO 1 MYP]]&amp;" + "&amp;Table3345[[#This Row],[EVENTO 2 MYP]]</f>
        <v xml:space="preserve"> + </v>
      </c>
      <c r="G183" s="85" t="str">
        <f>Table33456[[#This Row],[EVENTO 1 DP]]&amp;" + "&amp;Table33456[[#This Row],[EVENTO 2 DP]]</f>
        <v xml:space="preserve"> + </v>
      </c>
      <c r="H183" s="85"/>
      <c r="I183" s="88"/>
      <c r="J183" s="88"/>
      <c r="K183" s="20"/>
      <c r="L183" s="26"/>
      <c r="M183" s="8"/>
      <c r="N183" s="8"/>
      <c r="O183" s="29" t="s">
        <v>81</v>
      </c>
      <c r="P183" s="29" t="s">
        <v>81</v>
      </c>
      <c r="Q183" s="29" t="s">
        <v>81</v>
      </c>
      <c r="V183" s="1"/>
    </row>
    <row r="184" spans="1:22" ht="24" hidden="1" x14ac:dyDescent="0.2">
      <c r="A184" s="10">
        <v>46020</v>
      </c>
      <c r="B184" s="23" t="s">
        <v>84</v>
      </c>
      <c r="C184" s="9"/>
      <c r="D184" s="85" t="str">
        <f>Table33[[#This Row],[EVENTO 1 PRESC.]]&amp;" + "&amp;Table33[[#This Row],[EVENTO 2 PRESC.]]</f>
        <v xml:space="preserve"> + </v>
      </c>
      <c r="E184" s="85" t="str">
        <f>Table334[[#This Row],[EVENTO 1 PYP]]&amp;" + "&amp;Table334[[#This Row],[EVENTO 2 PYP]]</f>
        <v xml:space="preserve"> + </v>
      </c>
      <c r="F184" s="85" t="str">
        <f>Table3345[[#This Row],[EVENTO 1 MYP]]&amp;" + "&amp;Table3345[[#This Row],[EVENTO 2 MYP]]</f>
        <v xml:space="preserve"> + </v>
      </c>
      <c r="G184" s="85" t="str">
        <f>Table33456[[#This Row],[EVENTO 1 DP]]&amp;" + "&amp;Table33456[[#This Row],[EVENTO 2 DP]]</f>
        <v xml:space="preserve"> + </v>
      </c>
      <c r="H184" s="85"/>
      <c r="I184" s="88"/>
      <c r="J184" s="88"/>
      <c r="K184" s="20"/>
      <c r="L184" s="26"/>
      <c r="M184" s="8"/>
      <c r="N184" s="8"/>
      <c r="O184" s="29" t="s">
        <v>81</v>
      </c>
      <c r="P184" s="29" t="s">
        <v>81</v>
      </c>
      <c r="Q184" s="29" t="s">
        <v>81</v>
      </c>
      <c r="V184" s="1"/>
    </row>
    <row r="185" spans="1:22" ht="24" hidden="1" x14ac:dyDescent="0.2">
      <c r="A185" s="10">
        <v>46021</v>
      </c>
      <c r="B185" s="23" t="s">
        <v>84</v>
      </c>
      <c r="C185" s="9"/>
      <c r="D185" s="85" t="str">
        <f>Table33[[#This Row],[EVENTO 1 PRESC.]]&amp;" + "&amp;Table33[[#This Row],[EVENTO 2 PRESC.]]</f>
        <v xml:space="preserve"> + </v>
      </c>
      <c r="E185" s="85" t="str">
        <f>Table334[[#This Row],[EVENTO 1 PYP]]&amp;" + "&amp;Table334[[#This Row],[EVENTO 2 PYP]]</f>
        <v xml:space="preserve"> + </v>
      </c>
      <c r="F185" s="85" t="str">
        <f>Table3345[[#This Row],[EVENTO 1 MYP]]&amp;" + "&amp;Table3345[[#This Row],[EVENTO 2 MYP]]</f>
        <v xml:space="preserve"> + </v>
      </c>
      <c r="G185" s="85" t="str">
        <f>Table33456[[#This Row],[EVENTO 1 DP]]&amp;" + "&amp;Table33456[[#This Row],[EVENTO 2 DP]]</f>
        <v xml:space="preserve"> + </v>
      </c>
      <c r="H185" s="85"/>
      <c r="I185" s="88"/>
      <c r="J185" s="88"/>
      <c r="K185" s="20"/>
      <c r="L185" s="26"/>
      <c r="M185" s="8"/>
      <c r="N185" s="8"/>
      <c r="O185" s="29" t="s">
        <v>81</v>
      </c>
      <c r="P185" s="29" t="s">
        <v>81</v>
      </c>
      <c r="Q185" s="29" t="s">
        <v>81</v>
      </c>
      <c r="V185" s="1"/>
    </row>
    <row r="186" spans="1:22" ht="24" hidden="1" x14ac:dyDescent="0.2">
      <c r="A186" s="10">
        <v>46022</v>
      </c>
      <c r="B186" s="23" t="s">
        <v>84</v>
      </c>
      <c r="C186" s="9"/>
      <c r="D186" s="85" t="str">
        <f>Table33[[#This Row],[EVENTO 1 PRESC.]]&amp;" + "&amp;Table33[[#This Row],[EVENTO 2 PRESC.]]</f>
        <v xml:space="preserve"> + </v>
      </c>
      <c r="E186" s="85" t="str">
        <f>Table334[[#This Row],[EVENTO 1 PYP]]&amp;" + "&amp;Table334[[#This Row],[EVENTO 2 PYP]]</f>
        <v xml:space="preserve"> + </v>
      </c>
      <c r="F186" s="85" t="str">
        <f>Table3345[[#This Row],[EVENTO 1 MYP]]&amp;" + "&amp;Table3345[[#This Row],[EVENTO 2 MYP]]</f>
        <v xml:space="preserve"> + </v>
      </c>
      <c r="G186" s="85" t="str">
        <f>Table33456[[#This Row],[EVENTO 1 DP]]&amp;" + "&amp;Table33456[[#This Row],[EVENTO 2 DP]]</f>
        <v xml:space="preserve"> + </v>
      </c>
      <c r="H186" s="85"/>
      <c r="I186" s="88"/>
      <c r="J186" s="88"/>
      <c r="K186" s="20"/>
      <c r="L186" s="26"/>
      <c r="M186" s="8"/>
      <c r="N186" s="8"/>
      <c r="O186" s="29" t="s">
        <v>81</v>
      </c>
      <c r="P186" s="29" t="s">
        <v>81</v>
      </c>
      <c r="Q186" s="29" t="s">
        <v>81</v>
      </c>
      <c r="V186" s="1"/>
    </row>
    <row r="187" spans="1:22" ht="24" x14ac:dyDescent="0.2">
      <c r="A187" s="10">
        <v>46023</v>
      </c>
      <c r="B187" s="23" t="s">
        <v>17</v>
      </c>
      <c r="C187" s="9"/>
      <c r="D187" s="85" t="str">
        <f>Table33[[#This Row],[EVENTO 1 PRESC.]]&amp;" + "&amp;Table33[[#This Row],[EVENTO 2 PRESC.]]</f>
        <v xml:space="preserve"> + </v>
      </c>
      <c r="E187" s="85" t="str">
        <f>Table334[[#This Row],[EVENTO 1 PYP]]&amp;" + "&amp;Table334[[#This Row],[EVENTO 2 PYP]]</f>
        <v xml:space="preserve"> + </v>
      </c>
      <c r="F187" s="85" t="str">
        <f>Table3345[[#This Row],[EVENTO 1 MYP]]&amp;" + "&amp;Table3345[[#This Row],[EVENTO 2 MYP]]</f>
        <v xml:space="preserve"> + </v>
      </c>
      <c r="G187" s="85" t="str">
        <f>Table33456[[#This Row],[EVENTO 1 DP]]&amp;" + "&amp;Table33456[[#This Row],[EVENTO 2 DP]]</f>
        <v xml:space="preserve"> + </v>
      </c>
      <c r="H187" s="85"/>
      <c r="I187" s="88"/>
      <c r="J187" s="88"/>
      <c r="K187" s="20"/>
      <c r="L187" s="26"/>
      <c r="M187" s="8"/>
      <c r="N187" s="8"/>
      <c r="O187" s="29" t="s">
        <v>81</v>
      </c>
      <c r="P187" s="29" t="s">
        <v>81</v>
      </c>
      <c r="Q187" s="29" t="s">
        <v>81</v>
      </c>
      <c r="V187" s="1"/>
    </row>
    <row r="188" spans="1:22" ht="24" x14ac:dyDescent="0.2">
      <c r="A188" s="10">
        <v>46024</v>
      </c>
      <c r="B188" s="23" t="s">
        <v>84</v>
      </c>
      <c r="C188" s="9"/>
      <c r="D188" s="85" t="str">
        <f>Table33[[#This Row],[EVENTO 1 PRESC.]]&amp;" + "&amp;Table33[[#This Row],[EVENTO 2 PRESC.]]</f>
        <v xml:space="preserve"> + </v>
      </c>
      <c r="E188" s="85" t="str">
        <f>Table334[[#This Row],[EVENTO 1 PYP]]&amp;" + "&amp;Table334[[#This Row],[EVENTO 2 PYP]]</f>
        <v xml:space="preserve"> + </v>
      </c>
      <c r="F188" s="85" t="str">
        <f>Table3345[[#This Row],[EVENTO 1 MYP]]&amp;" + "&amp;Table3345[[#This Row],[EVENTO 2 MYP]]</f>
        <v xml:space="preserve"> + </v>
      </c>
      <c r="G188" s="85" t="str">
        <f>Table33456[[#This Row],[EVENTO 1 DP]]&amp;" + "&amp;Table33456[[#This Row],[EVENTO 2 DP]]</f>
        <v xml:space="preserve"> + </v>
      </c>
      <c r="H188" s="85"/>
      <c r="I188" s="88"/>
      <c r="J188" s="88"/>
      <c r="K188" s="20"/>
      <c r="L188" s="26"/>
      <c r="M188" s="8"/>
      <c r="N188" s="8"/>
      <c r="O188" s="29" t="s">
        <v>81</v>
      </c>
      <c r="P188" s="29" t="s">
        <v>81</v>
      </c>
      <c r="Q188" s="29" t="s">
        <v>81</v>
      </c>
      <c r="V188" s="1"/>
    </row>
    <row r="189" spans="1:22" ht="24" x14ac:dyDescent="0.2">
      <c r="A189" s="10">
        <v>46025</v>
      </c>
      <c r="B189" s="23" t="s">
        <v>20</v>
      </c>
      <c r="C189" s="9"/>
      <c r="D189" s="85" t="str">
        <f>Table33[[#This Row],[EVENTO 1 PRESC.]]&amp;" + "&amp;Table33[[#This Row],[EVENTO 2 PRESC.]]</f>
        <v xml:space="preserve"> + </v>
      </c>
      <c r="E189" s="85" t="str">
        <f>Table334[[#This Row],[EVENTO 1 PYP]]&amp;" + "&amp;Table334[[#This Row],[EVENTO 2 PYP]]</f>
        <v xml:space="preserve"> + </v>
      </c>
      <c r="F189" s="85" t="str">
        <f>Table3345[[#This Row],[EVENTO 1 MYP]]&amp;" + "&amp;Table3345[[#This Row],[EVENTO 2 MYP]]</f>
        <v xml:space="preserve"> + </v>
      </c>
      <c r="G189" s="85" t="str">
        <f>Table33456[[#This Row],[EVENTO 1 DP]]&amp;" + "&amp;Table33456[[#This Row],[EVENTO 2 DP]]</f>
        <v xml:space="preserve"> + </v>
      </c>
      <c r="H189" s="85"/>
      <c r="I189" s="88"/>
      <c r="J189" s="88"/>
      <c r="K189" s="20"/>
      <c r="L189" s="26"/>
      <c r="M189" s="8"/>
      <c r="N189" s="8"/>
      <c r="O189" s="29" t="s">
        <v>81</v>
      </c>
      <c r="P189" s="29" t="s">
        <v>81</v>
      </c>
      <c r="Q189" s="29" t="s">
        <v>81</v>
      </c>
      <c r="V189" s="1"/>
    </row>
    <row r="190" spans="1:22" ht="24" x14ac:dyDescent="0.2">
      <c r="A190" s="10">
        <v>46026</v>
      </c>
      <c r="B190" s="23" t="s">
        <v>20</v>
      </c>
      <c r="C190" s="9"/>
      <c r="D190" s="85" t="str">
        <f>Table33[[#This Row],[EVENTO 1 PRESC.]]&amp;" + "&amp;Table33[[#This Row],[EVENTO 2 PRESC.]]</f>
        <v xml:space="preserve"> + </v>
      </c>
      <c r="E190" s="85" t="str">
        <f>Table334[[#This Row],[EVENTO 1 PYP]]&amp;" + "&amp;Table334[[#This Row],[EVENTO 2 PYP]]</f>
        <v xml:space="preserve"> + </v>
      </c>
      <c r="F190" s="85" t="str">
        <f>Table3345[[#This Row],[EVENTO 1 MYP]]&amp;" + "&amp;Table3345[[#This Row],[EVENTO 2 MYP]]</f>
        <v xml:space="preserve"> + </v>
      </c>
      <c r="G190" s="85" t="str">
        <f>Table33456[[#This Row],[EVENTO 1 DP]]&amp;" + "&amp;Table33456[[#This Row],[EVENTO 2 DP]]</f>
        <v xml:space="preserve"> + </v>
      </c>
      <c r="H190" s="85"/>
      <c r="I190" s="88"/>
      <c r="J190" s="88"/>
      <c r="K190" s="20"/>
      <c r="L190" s="26"/>
      <c r="M190" s="8"/>
      <c r="N190" s="8"/>
      <c r="O190" s="29" t="s">
        <v>81</v>
      </c>
      <c r="P190" s="29" t="s">
        <v>81</v>
      </c>
      <c r="Q190" s="29" t="s">
        <v>81</v>
      </c>
      <c r="V190" s="1"/>
    </row>
    <row r="191" spans="1:22" ht="24" x14ac:dyDescent="0.2">
      <c r="A191" s="10">
        <v>46027</v>
      </c>
      <c r="B191" s="23" t="s">
        <v>84</v>
      </c>
      <c r="C191" s="9"/>
      <c r="D191" s="85" t="str">
        <f>Table33[[#This Row],[EVENTO 1 PRESC.]]&amp;" + "&amp;Table33[[#This Row],[EVENTO 2 PRESC.]]</f>
        <v xml:space="preserve"> + </v>
      </c>
      <c r="E191" s="85" t="str">
        <f>Table334[[#This Row],[EVENTO 1 PYP]]&amp;" + "&amp;Table334[[#This Row],[EVENTO 2 PYP]]</f>
        <v xml:space="preserve"> + </v>
      </c>
      <c r="F191" s="85" t="str">
        <f>Table3345[[#This Row],[EVENTO 1 MYP]]&amp;" + "&amp;Table3345[[#This Row],[EVENTO 2 MYP]]</f>
        <v xml:space="preserve"> + </v>
      </c>
      <c r="G191" s="85" t="str">
        <f>Table33456[[#This Row],[EVENTO 1 DP]]&amp;" + "&amp;Table33456[[#This Row],[EVENTO 2 DP]]</f>
        <v xml:space="preserve"> + </v>
      </c>
      <c r="H191" s="85"/>
      <c r="I191" s="88"/>
      <c r="J191" s="88"/>
      <c r="K191" s="20"/>
      <c r="L191" s="26"/>
      <c r="M191" s="8"/>
      <c r="N191" s="8"/>
      <c r="O191" s="29" t="s">
        <v>81</v>
      </c>
      <c r="P191" s="29" t="s">
        <v>81</v>
      </c>
      <c r="Q191" s="29" t="s">
        <v>81</v>
      </c>
      <c r="V191" s="1"/>
    </row>
    <row r="192" spans="1:22" ht="24" x14ac:dyDescent="0.2">
      <c r="A192" s="10">
        <v>46028</v>
      </c>
      <c r="B192" s="23" t="s">
        <v>84</v>
      </c>
      <c r="C192" s="9"/>
      <c r="D192" s="85" t="str">
        <f>Table33[[#This Row],[EVENTO 1 PRESC.]]&amp;" + "&amp;Table33[[#This Row],[EVENTO 2 PRESC.]]</f>
        <v xml:space="preserve"> + </v>
      </c>
      <c r="E192" s="85" t="str">
        <f>Table334[[#This Row],[EVENTO 1 PYP]]&amp;" + "&amp;Table334[[#This Row],[EVENTO 2 PYP]]</f>
        <v xml:space="preserve"> + </v>
      </c>
      <c r="F192" s="85" t="str">
        <f>Table3345[[#This Row],[EVENTO 1 MYP]]&amp;" + "&amp;Table3345[[#This Row],[EVENTO 2 MYP]]</f>
        <v xml:space="preserve"> + </v>
      </c>
      <c r="G192" s="85" t="str">
        <f>Table33456[[#This Row],[EVENTO 1 DP]]&amp;" + "&amp;Table33456[[#This Row],[EVENTO 2 DP]]</f>
        <v xml:space="preserve"> + </v>
      </c>
      <c r="H192" s="85"/>
      <c r="I192" s="88"/>
      <c r="J192" s="88"/>
      <c r="K192" s="20"/>
      <c r="L192" s="26"/>
      <c r="M192" s="8"/>
      <c r="N192" s="8"/>
      <c r="O192" s="29" t="s">
        <v>81</v>
      </c>
      <c r="P192" s="29" t="s">
        <v>81</v>
      </c>
      <c r="Q192" s="29" t="s">
        <v>81</v>
      </c>
      <c r="V192" s="1"/>
    </row>
    <row r="193" spans="1:22" ht="24" x14ac:dyDescent="0.2">
      <c r="A193" s="17">
        <v>46029</v>
      </c>
      <c r="B193" s="25" t="s">
        <v>85</v>
      </c>
      <c r="C193" s="18"/>
      <c r="D193" s="97" t="str">
        <f>Table33[[#This Row],[EVENTO 1 PRESC.]]&amp;" + "&amp;Table33[[#This Row],[EVENTO 2 PRESC.]]</f>
        <v xml:space="preserve"> + </v>
      </c>
      <c r="E193" s="97" t="str">
        <f>Table334[[#This Row],[EVENTO 1 PYP]]&amp;" + "&amp;Table334[[#This Row],[EVENTO 2 PYP]]</f>
        <v xml:space="preserve"> + </v>
      </c>
      <c r="F193" s="97" t="str">
        <f>Table3345[[#This Row],[EVENTO 1 MYP]]&amp;" + "&amp;Table3345[[#This Row],[EVENTO 2 MYP]]</f>
        <v xml:space="preserve"> + </v>
      </c>
      <c r="G193" s="97" t="str">
        <f>Table33456[[#This Row],[EVENTO 1 DP]]&amp;" + "&amp;Table33456[[#This Row],[EVENTO 2 DP]]</f>
        <v xml:space="preserve"> + </v>
      </c>
      <c r="H193" s="97"/>
      <c r="I193" s="98"/>
      <c r="J193" s="98"/>
      <c r="K193" s="22"/>
      <c r="L193" s="28"/>
      <c r="M193" s="19"/>
      <c r="N193" s="19"/>
      <c r="O193" s="32" t="s">
        <v>81</v>
      </c>
      <c r="P193" s="32" t="s">
        <v>81</v>
      </c>
      <c r="Q193" s="32" t="s">
        <v>81</v>
      </c>
      <c r="V193" s="1"/>
    </row>
    <row r="194" spans="1:22" ht="24" x14ac:dyDescent="0.2">
      <c r="A194" s="7">
        <v>46030</v>
      </c>
      <c r="B194" s="33">
        <v>3</v>
      </c>
      <c r="C194" s="6"/>
      <c r="D194" s="91" t="str">
        <f>Table33[[#This Row],[EVENTO 1 PRESC.]]&amp;" + "&amp;Table33[[#This Row],[EVENTO 2 PRESC.]]</f>
        <v xml:space="preserve"> + </v>
      </c>
      <c r="E194" s="91" t="str">
        <f>Table334[[#This Row],[EVENTO 1 PYP]]&amp;" + "&amp;Table334[[#This Row],[EVENTO 2 PYP]]</f>
        <v xml:space="preserve"> + </v>
      </c>
      <c r="F194" s="91" t="str">
        <f>Table3345[[#This Row],[EVENTO 1 MYP]]&amp;" + "&amp;Table3345[[#This Row],[EVENTO 2 MYP]]</f>
        <v xml:space="preserve">Limite de comentarios + </v>
      </c>
      <c r="G194" s="91" t="str">
        <f>Table33456[[#This Row],[EVENTO 1 DP]]&amp;" + "&amp;Table33456[[#This Row],[EVENTO 2 DP]]</f>
        <v xml:space="preserve"> + </v>
      </c>
      <c r="H194" s="91"/>
      <c r="I194" s="92"/>
      <c r="J194" s="92"/>
      <c r="K194" s="21"/>
      <c r="L194" s="27">
        <f>1+SUM(L169:L175)</f>
        <v>19</v>
      </c>
      <c r="M194" s="5"/>
      <c r="N194" s="5"/>
      <c r="O194" s="29" t="s">
        <v>81</v>
      </c>
      <c r="P194" s="29" t="s">
        <v>81</v>
      </c>
      <c r="Q194" s="29" t="s">
        <v>81</v>
      </c>
      <c r="V194" s="1"/>
    </row>
    <row r="195" spans="1:22" ht="32" x14ac:dyDescent="0.2">
      <c r="A195" s="7">
        <v>46031</v>
      </c>
      <c r="B195" s="33">
        <v>4</v>
      </c>
      <c r="C195" s="6"/>
      <c r="D195" s="91" t="str">
        <f>Table33[[#This Row],[EVENTO 1 PRESC.]]&amp;" + "&amp;Table33[[#This Row],[EVENTO 2 PRESC.]]</f>
        <v xml:space="preserve"> + Grades and Comments on Phidias + </v>
      </c>
      <c r="E195" s="91" t="str">
        <f>Table334[[#This Row],[EVENTO 1 PYP]]&amp;" + "&amp;Table334[[#This Row],[EVENTO 2 PYP]]</f>
        <v xml:space="preserve">Grades and Comments on Phidias + </v>
      </c>
      <c r="F195" s="91" t="str">
        <f>Table3345[[#This Row],[EVENTO 1 MYP]]&amp;" + "&amp;Table3345[[#This Row],[EVENTO 2 MYP]]</f>
        <v xml:space="preserve"> + </v>
      </c>
      <c r="G195" s="91" t="str">
        <f>Table33456[[#This Row],[EVENTO 1 DP]]&amp;" + "&amp;Table33456[[#This Row],[EVENTO 2 DP]]</f>
        <v xml:space="preserve"> + </v>
      </c>
      <c r="H195" s="91"/>
      <c r="I195" s="92"/>
      <c r="J195" s="92"/>
      <c r="K195" s="21"/>
      <c r="L195" s="27"/>
      <c r="M195" s="5"/>
      <c r="N195" s="5"/>
      <c r="O195" s="29" t="s">
        <v>81</v>
      </c>
      <c r="P195" s="29" t="s">
        <v>81</v>
      </c>
      <c r="Q195" s="29" t="s">
        <v>81</v>
      </c>
      <c r="V195" s="1"/>
    </row>
    <row r="196" spans="1:22" ht="24" x14ac:dyDescent="0.2">
      <c r="A196" s="10">
        <v>46032</v>
      </c>
      <c r="B196" s="23" t="s">
        <v>20</v>
      </c>
      <c r="C196" s="9"/>
      <c r="D196" s="85" t="str">
        <f>Table33[[#This Row],[EVENTO 1 PRESC.]]&amp;" + "&amp;Table33[[#This Row],[EVENTO 2 PRESC.]]</f>
        <v xml:space="preserve"> + </v>
      </c>
      <c r="E196" s="85" t="str">
        <f>Table334[[#This Row],[EVENTO 1 PYP]]&amp;" + "&amp;Table334[[#This Row],[EVENTO 2 PYP]]</f>
        <v xml:space="preserve"> + </v>
      </c>
      <c r="F196" s="85" t="str">
        <f>Table3345[[#This Row],[EVENTO 1 MYP]]&amp;" + "&amp;Table3345[[#This Row],[EVENTO 2 MYP]]</f>
        <v xml:space="preserve"> + </v>
      </c>
      <c r="G196" s="85" t="str">
        <f>Table33456[[#This Row],[EVENTO 1 DP]]&amp;" + "&amp;Table33456[[#This Row],[EVENTO 2 DP]]</f>
        <v xml:space="preserve"> + </v>
      </c>
      <c r="H196" s="85"/>
      <c r="I196" s="88"/>
      <c r="J196" s="88"/>
      <c r="K196" s="20"/>
      <c r="L196" s="26"/>
      <c r="M196" s="8"/>
      <c r="N196" s="8"/>
      <c r="O196" s="29" t="s">
        <v>81</v>
      </c>
      <c r="P196" s="29" t="s">
        <v>81</v>
      </c>
      <c r="Q196" s="29" t="s">
        <v>81</v>
      </c>
      <c r="V196" s="1"/>
    </row>
    <row r="197" spans="1:22" ht="24" x14ac:dyDescent="0.2">
      <c r="A197" s="10">
        <v>46033</v>
      </c>
      <c r="B197" s="23" t="s">
        <v>20</v>
      </c>
      <c r="C197" s="9"/>
      <c r="D197" s="85" t="str">
        <f>Table33[[#This Row],[EVENTO 1 PRESC.]]&amp;" + "&amp;Table33[[#This Row],[EVENTO 2 PRESC.]]</f>
        <v xml:space="preserve"> + </v>
      </c>
      <c r="E197" s="85" t="str">
        <f>Table334[[#This Row],[EVENTO 1 PYP]]&amp;" + "&amp;Table334[[#This Row],[EVENTO 2 PYP]]</f>
        <v xml:space="preserve"> + </v>
      </c>
      <c r="F197" s="85" t="str">
        <f>Table3345[[#This Row],[EVENTO 1 MYP]]&amp;" + "&amp;Table3345[[#This Row],[EVENTO 2 MYP]]</f>
        <v xml:space="preserve"> + </v>
      </c>
      <c r="G197" s="85" t="str">
        <f>Table33456[[#This Row],[EVENTO 1 DP]]&amp;" + "&amp;Table33456[[#This Row],[EVENTO 2 DP]]</f>
        <v xml:space="preserve"> + </v>
      </c>
      <c r="H197" s="85"/>
      <c r="I197" s="88"/>
      <c r="J197" s="88"/>
      <c r="K197" s="20"/>
      <c r="L197" s="26"/>
      <c r="M197" s="8"/>
      <c r="N197" s="8"/>
      <c r="O197" s="29" t="s">
        <v>81</v>
      </c>
      <c r="P197" s="29" t="s">
        <v>81</v>
      </c>
      <c r="Q197" s="29" t="s">
        <v>81</v>
      </c>
      <c r="V197" s="1"/>
    </row>
    <row r="198" spans="1:22" ht="24" x14ac:dyDescent="0.2">
      <c r="A198" s="10">
        <v>46034</v>
      </c>
      <c r="B198" s="23" t="s">
        <v>17</v>
      </c>
      <c r="C198" s="9"/>
      <c r="D198" s="85" t="str">
        <f>Table33[[#This Row],[EVENTO 1 PRESC.]]&amp;" + "&amp;Table33[[#This Row],[EVENTO 2 PRESC.]]</f>
        <v xml:space="preserve"> + </v>
      </c>
      <c r="E198" s="85" t="str">
        <f>Table334[[#This Row],[EVENTO 1 PYP]]&amp;" + "&amp;Table334[[#This Row],[EVENTO 2 PYP]]</f>
        <v xml:space="preserve"> + </v>
      </c>
      <c r="F198" s="85" t="str">
        <f>Table3345[[#This Row],[EVENTO 1 MYP]]&amp;" + "&amp;Table3345[[#This Row],[EVENTO 2 MYP]]</f>
        <v xml:space="preserve"> + </v>
      </c>
      <c r="G198" s="85" t="str">
        <f>Table33456[[#This Row],[EVENTO 1 DP]]&amp;" + "&amp;Table33456[[#This Row],[EVENTO 2 DP]]</f>
        <v xml:space="preserve"> + </v>
      </c>
      <c r="H198" s="85"/>
      <c r="I198" s="88"/>
      <c r="J198" s="88"/>
      <c r="K198" s="20"/>
      <c r="L198" s="26"/>
      <c r="M198" s="8"/>
      <c r="N198" s="8"/>
      <c r="O198" s="29" t="s">
        <v>81</v>
      </c>
      <c r="P198" s="29" t="s">
        <v>81</v>
      </c>
      <c r="Q198" s="29" t="s">
        <v>81</v>
      </c>
      <c r="V198" s="1"/>
    </row>
    <row r="199" spans="1:22" ht="32" x14ac:dyDescent="0.2">
      <c r="A199" s="7">
        <v>46035</v>
      </c>
      <c r="B199" s="33">
        <v>5</v>
      </c>
      <c r="C199" s="6"/>
      <c r="D199" s="91" t="str">
        <f>Table33[[#This Row],[EVENTO 1 PRESC.]]&amp;" + "&amp;Table33[[#This Row],[EVENTO 2 PRESC.]]</f>
        <v xml:space="preserve"> + </v>
      </c>
      <c r="E199" s="91" t="str">
        <f>Table334[[#This Row],[EVENTO 1 PYP]]&amp;" + "&amp;Table334[[#This Row],[EVENTO 2 PYP]]</f>
        <v xml:space="preserve"> + </v>
      </c>
      <c r="F199" s="91" t="str">
        <f>Table3345[[#This Row],[EVENTO 1 MYP]]&amp;" + "&amp;Table3345[[#This Row],[EVENTO 2 MYP]]</f>
        <v xml:space="preserve"> + </v>
      </c>
      <c r="G199" s="91" t="str">
        <f>Table33456[[#This Row],[EVENTO 1 DP]]&amp;" + "&amp;Table33456[[#This Row],[EVENTO 2 DP]]</f>
        <v xml:space="preserve"> + </v>
      </c>
      <c r="H199" s="91" t="s">
        <v>86</v>
      </c>
      <c r="I199" s="92"/>
      <c r="J199" s="92"/>
      <c r="K199" s="21"/>
      <c r="L199" s="27">
        <f>1+SUM(L190:L196)</f>
        <v>20</v>
      </c>
      <c r="M199" s="5"/>
      <c r="N199" s="5"/>
      <c r="O199" s="29" t="s">
        <v>65</v>
      </c>
      <c r="P199" s="29" t="s">
        <v>87</v>
      </c>
      <c r="Q199" s="29" t="s">
        <v>81</v>
      </c>
      <c r="V199" s="1"/>
    </row>
    <row r="200" spans="1:22" ht="24" x14ac:dyDescent="0.2">
      <c r="A200" s="7">
        <v>46036</v>
      </c>
      <c r="B200" s="33">
        <v>6</v>
      </c>
      <c r="C200" s="6"/>
      <c r="D200" s="91" t="str">
        <f>Table33[[#This Row],[EVENTO 1 PRESC.]]&amp;" + "&amp;Table33[[#This Row],[EVENTO 2 PRESC.]]</f>
        <v xml:space="preserve"> + </v>
      </c>
      <c r="E200" s="91" t="str">
        <f>Table334[[#This Row],[EVENTO 1 PYP]]&amp;" + "&amp;Table334[[#This Row],[EVENTO 2 PYP]]</f>
        <v xml:space="preserve"> + </v>
      </c>
      <c r="F200" s="91" t="str">
        <f>Table3345[[#This Row],[EVENTO 1 MYP]]&amp;" + "&amp;Table3345[[#This Row],[EVENTO 2 MYP]]</f>
        <v xml:space="preserve">Preparación de entrega tripartita + </v>
      </c>
      <c r="G200" s="91" t="str">
        <f>Table33456[[#This Row],[EVENTO 1 DP]]&amp;" + "&amp;Table33456[[#This Row],[EVENTO 2 DP]]</f>
        <v xml:space="preserve"> + </v>
      </c>
      <c r="H200" s="91"/>
      <c r="I200" s="92"/>
      <c r="J200" s="92"/>
      <c r="K200" s="21">
        <v>13</v>
      </c>
      <c r="L200" s="27"/>
      <c r="M200" s="5"/>
      <c r="N200" s="5"/>
      <c r="O200" s="29" t="s">
        <v>88</v>
      </c>
      <c r="P200" s="29"/>
      <c r="Q200" s="29"/>
      <c r="V200" s="1"/>
    </row>
    <row r="201" spans="1:22" ht="32" x14ac:dyDescent="0.2">
      <c r="A201" s="7">
        <v>46037</v>
      </c>
      <c r="B201" s="33">
        <v>1</v>
      </c>
      <c r="C201" s="6"/>
      <c r="D201" s="91" t="str">
        <f>Table33[[#This Row],[EVENTO 1 PRESC.]]&amp;" + "&amp;Table33[[#This Row],[EVENTO 2 PRESC.]]</f>
        <v xml:space="preserve">Nature's Field Trip - Finca Tenjo  K4 + K5 + </v>
      </c>
      <c r="E201" s="91" t="str">
        <f>Table334[[#This Row],[EVENTO 1 PYP]]&amp;" + "&amp;Table334[[#This Row],[EVENTO 2 PYP]]</f>
        <v xml:space="preserve"> + </v>
      </c>
      <c r="F201" s="91" t="str">
        <f>Table3345[[#This Row],[EVENTO 1 MYP]]&amp;" + "&amp;Table3345[[#This Row],[EVENTO 2 MYP]]</f>
        <v xml:space="preserve"> + </v>
      </c>
      <c r="G201" s="91" t="str">
        <f>Table33456[[#This Row],[EVENTO 1 DP]]&amp;" + "&amp;Table33456[[#This Row],[EVENTO 2 DP]]</f>
        <v xml:space="preserve"> + </v>
      </c>
      <c r="H201" s="91"/>
      <c r="I201" s="92"/>
      <c r="J201" s="92"/>
      <c r="K201" s="21"/>
      <c r="L201" s="27"/>
      <c r="M201" s="5"/>
      <c r="N201" s="5"/>
      <c r="O201" s="29"/>
      <c r="P201" s="29"/>
      <c r="Q201" s="29"/>
      <c r="V201" s="1"/>
    </row>
    <row r="202" spans="1:22" ht="24" x14ac:dyDescent="0.2">
      <c r="A202" s="46">
        <v>46038</v>
      </c>
      <c r="B202" s="47" t="s">
        <v>51</v>
      </c>
      <c r="C202" s="45" t="s">
        <v>89</v>
      </c>
      <c r="D202" s="99" t="str">
        <f>Table33[[#This Row],[EVENTO 1 PRESC.]]&amp;" + "&amp;Table33[[#This Row],[EVENTO 2 PRESC.]]</f>
        <v xml:space="preserve">ENTREGA DE NOTAS  + </v>
      </c>
      <c r="E202" s="99" t="str">
        <f>Table334[[#This Row],[EVENTO 1 PYP]]&amp;" + "&amp;Table334[[#This Row],[EVENTO 2 PYP]]</f>
        <v xml:space="preserve">ENTREGA DE NOTAS  + </v>
      </c>
      <c r="F202" s="99" t="str">
        <f>Table3345[[#This Row],[EVENTO 1 MYP]]&amp;" + "&amp;Table3345[[#This Row],[EVENTO 2 MYP]]</f>
        <v xml:space="preserve"> + </v>
      </c>
      <c r="G202" s="99" t="str">
        <f>Table33456[[#This Row],[EVENTO 1 DP]]&amp;" + "&amp;Table33456[[#This Row],[EVENTO 2 DP]]</f>
        <v xml:space="preserve"> + </v>
      </c>
      <c r="H202" s="99"/>
      <c r="I202" s="100"/>
      <c r="J202" s="100"/>
      <c r="K202" s="48"/>
      <c r="L202" s="49"/>
      <c r="M202" s="50"/>
      <c r="N202" s="50"/>
      <c r="O202" s="51"/>
      <c r="P202" s="51"/>
      <c r="Q202" s="51"/>
      <c r="V202" s="1"/>
    </row>
    <row r="203" spans="1:22" ht="24" x14ac:dyDescent="0.2">
      <c r="A203" s="10">
        <v>46039</v>
      </c>
      <c r="B203" s="23" t="s">
        <v>20</v>
      </c>
      <c r="C203" s="9"/>
      <c r="D203" s="85" t="str">
        <f>Table33[[#This Row],[EVENTO 1 PRESC.]]&amp;" + "&amp;Table33[[#This Row],[EVENTO 2 PRESC.]]</f>
        <v xml:space="preserve"> + </v>
      </c>
      <c r="E203" s="85" t="str">
        <f>Table334[[#This Row],[EVENTO 1 PYP]]&amp;" + "&amp;Table334[[#This Row],[EVENTO 2 PYP]]</f>
        <v xml:space="preserve"> + </v>
      </c>
      <c r="F203" s="85" t="str">
        <f>Table3345[[#This Row],[EVENTO 1 MYP]]&amp;" + "&amp;Table3345[[#This Row],[EVENTO 2 MYP]]</f>
        <v xml:space="preserve"> + </v>
      </c>
      <c r="G203" s="85" t="str">
        <f>Table33456[[#This Row],[EVENTO 1 DP]]&amp;" + "&amp;Table33456[[#This Row],[EVENTO 2 DP]]</f>
        <v xml:space="preserve"> + </v>
      </c>
      <c r="H203" s="85"/>
      <c r="I203" s="88"/>
      <c r="J203" s="88"/>
      <c r="K203" s="20"/>
      <c r="L203" s="26"/>
      <c r="M203" s="8"/>
      <c r="N203" s="8"/>
      <c r="O203" s="29"/>
      <c r="P203" s="29"/>
      <c r="Q203" s="29"/>
      <c r="V203" s="1"/>
    </row>
    <row r="204" spans="1:22" ht="24" x14ac:dyDescent="0.2">
      <c r="A204" s="10">
        <v>46040</v>
      </c>
      <c r="B204" s="23" t="s">
        <v>20</v>
      </c>
      <c r="C204" s="9"/>
      <c r="D204" s="85" t="str">
        <f>Table33[[#This Row],[EVENTO 1 PRESC.]]&amp;" + "&amp;Table33[[#This Row],[EVENTO 2 PRESC.]]</f>
        <v xml:space="preserve"> + </v>
      </c>
      <c r="E204" s="85" t="str">
        <f>Table334[[#This Row],[EVENTO 1 PYP]]&amp;" + "&amp;Table334[[#This Row],[EVENTO 2 PYP]]</f>
        <v xml:space="preserve"> + </v>
      </c>
      <c r="F204" s="85" t="str">
        <f>Table3345[[#This Row],[EVENTO 1 MYP]]&amp;" + "&amp;Table3345[[#This Row],[EVENTO 2 MYP]]</f>
        <v xml:space="preserve"> + </v>
      </c>
      <c r="G204" s="85" t="str">
        <f>Table33456[[#This Row],[EVENTO 1 DP]]&amp;" + "&amp;Table33456[[#This Row],[EVENTO 2 DP]]</f>
        <v xml:space="preserve"> + </v>
      </c>
      <c r="H204" s="85"/>
      <c r="I204" s="88"/>
      <c r="J204" s="88"/>
      <c r="K204" s="20"/>
      <c r="L204" s="26"/>
      <c r="M204" s="8"/>
      <c r="N204" s="8"/>
      <c r="O204" s="29"/>
      <c r="P204" s="29"/>
      <c r="Q204" s="29"/>
      <c r="V204" s="1"/>
    </row>
    <row r="205" spans="1:22" ht="24" x14ac:dyDescent="0.2">
      <c r="A205" s="7">
        <v>46041</v>
      </c>
      <c r="B205" s="33">
        <v>2</v>
      </c>
      <c r="C205" s="6"/>
      <c r="D205" s="91" t="str">
        <f>Table33[[#This Row],[EVENTO 1 PRESC.]]&amp;" + "&amp;Table33[[#This Row],[EVENTO 2 PRESC.]]</f>
        <v xml:space="preserve">Entregas Especiales II Bim + </v>
      </c>
      <c r="E205" s="91" t="str">
        <f>Table334[[#This Row],[EVENTO 1 PYP]]&amp;" + "&amp;Table334[[#This Row],[EVENTO 2 PYP]]</f>
        <v xml:space="preserve">Entregas Especiales II Bim + </v>
      </c>
      <c r="F205" s="91" t="str">
        <f>Table3345[[#This Row],[EVENTO 1 MYP]]&amp;" + "&amp;Table3345[[#This Row],[EVENTO 2 MYP]]</f>
        <v xml:space="preserve"> + </v>
      </c>
      <c r="G205" s="91" t="str">
        <f>Table33456[[#This Row],[EVENTO 1 DP]]&amp;" + "&amp;Table33456[[#This Row],[EVENTO 2 DP]]</f>
        <v xml:space="preserve"> + </v>
      </c>
      <c r="H205" s="91"/>
      <c r="I205" s="92"/>
      <c r="J205" s="92"/>
      <c r="K205" s="21"/>
      <c r="L205" s="27">
        <f>1+SUM(L196:L202)</f>
        <v>21</v>
      </c>
      <c r="M205" s="5"/>
      <c r="N205" s="5"/>
      <c r="O205" s="29"/>
      <c r="P205" s="29"/>
      <c r="Q205" s="29"/>
      <c r="V205" s="1"/>
    </row>
    <row r="206" spans="1:22" ht="24" x14ac:dyDescent="0.2">
      <c r="A206" s="7">
        <v>46042</v>
      </c>
      <c r="B206" s="33">
        <v>3</v>
      </c>
      <c r="C206" s="6"/>
      <c r="D206" s="91" t="str">
        <f>Table33[[#This Row],[EVENTO 1 PRESC.]]&amp;" + "&amp;Table33[[#This Row],[EVENTO 2 PRESC.]]</f>
        <v xml:space="preserve">Entregas Especiales II Bim + </v>
      </c>
      <c r="E206" s="91" t="str">
        <f>Table334[[#This Row],[EVENTO 1 PYP]]&amp;" + "&amp;Table334[[#This Row],[EVENTO 2 PYP]]</f>
        <v xml:space="preserve">Entregas Especiales II Bim + </v>
      </c>
      <c r="F206" s="91" t="str">
        <f>Table3345[[#This Row],[EVENTO 1 MYP]]&amp;" + "&amp;Table3345[[#This Row],[EVENTO 2 MYP]]</f>
        <v xml:space="preserve"> + </v>
      </c>
      <c r="G206" s="91" t="str">
        <f>Table33456[[#This Row],[EVENTO 1 DP]]&amp;" + "&amp;Table33456[[#This Row],[EVENTO 2 DP]]</f>
        <v xml:space="preserve"> + </v>
      </c>
      <c r="H206" s="91"/>
      <c r="I206" s="92"/>
      <c r="J206" s="92"/>
      <c r="K206" s="21"/>
      <c r="L206" s="27"/>
      <c r="M206" s="5"/>
      <c r="N206" s="5"/>
      <c r="O206" s="29"/>
      <c r="P206" s="29"/>
      <c r="Q206" s="29"/>
      <c r="V206" s="1"/>
    </row>
    <row r="207" spans="1:22" ht="24" x14ac:dyDescent="0.2">
      <c r="A207" s="7">
        <v>46043</v>
      </c>
      <c r="B207" s="33">
        <v>4</v>
      </c>
      <c r="C207" s="6"/>
      <c r="D207" s="91" t="str">
        <f>Table33[[#This Row],[EVENTO 1 PRESC.]]&amp;" + "&amp;Table33[[#This Row],[EVENTO 2 PRESC.]]</f>
        <v xml:space="preserve">Entregas Especiales II Bim + </v>
      </c>
      <c r="E207" s="91" t="str">
        <f>Table334[[#This Row],[EVENTO 1 PYP]]&amp;" + "&amp;Table334[[#This Row],[EVENTO 2 PYP]]</f>
        <v xml:space="preserve">Entregas Especiales II Bim + </v>
      </c>
      <c r="F207" s="91" t="str">
        <f>Table3345[[#This Row],[EVENTO 1 MYP]]&amp;" + "&amp;Table3345[[#This Row],[EVENTO 2 MYP]]</f>
        <v xml:space="preserve"> + </v>
      </c>
      <c r="G207" s="91" t="str">
        <f>Table33456[[#This Row],[EVENTO 1 DP]]&amp;" + "&amp;Table33456[[#This Row],[EVENTO 2 DP]]</f>
        <v xml:space="preserve"> + </v>
      </c>
      <c r="H207" s="91"/>
      <c r="I207" s="92"/>
      <c r="J207" s="92"/>
      <c r="K207" s="21"/>
      <c r="L207" s="27"/>
      <c r="M207" s="5"/>
      <c r="N207" s="5"/>
      <c r="O207" s="29"/>
      <c r="P207" s="29"/>
      <c r="Q207" s="29"/>
      <c r="V207" s="1"/>
    </row>
    <row r="208" spans="1:22" ht="32" x14ac:dyDescent="0.2">
      <c r="A208" s="7">
        <v>46044</v>
      </c>
      <c r="B208" s="33">
        <v>5</v>
      </c>
      <c r="C208" s="6"/>
      <c r="D208" s="91" t="str">
        <f>Table33[[#This Row],[EVENTO 1 PRESC.]]&amp;" + "&amp;Table33[[#This Row],[EVENTO 2 PRESC.]]</f>
        <v xml:space="preserve">IB Learner Profile Assembly (Balanced &amp; Principled ) + </v>
      </c>
      <c r="E208" s="91" t="str">
        <f>Table334[[#This Row],[EVENTO 1 PYP]]&amp;" + "&amp;Table334[[#This Row],[EVENTO 2 PYP]]</f>
        <v xml:space="preserve">IB Learner Profile Assembly (Balanced &amp; Principled ) + </v>
      </c>
      <c r="F208" s="91" t="str">
        <f>Table3345[[#This Row],[EVENTO 1 MYP]]&amp;" + "&amp;Table3345[[#This Row],[EVENTO 2 MYP]]</f>
        <v xml:space="preserve"> + </v>
      </c>
      <c r="G208" s="91" t="str">
        <f>Table33456[[#This Row],[EVENTO 1 DP]]&amp;" + "&amp;Table33456[[#This Row],[EVENTO 2 DP]]</f>
        <v xml:space="preserve"> + </v>
      </c>
      <c r="H208" s="91"/>
      <c r="I208" s="92"/>
      <c r="J208" s="92"/>
      <c r="K208" s="21"/>
      <c r="L208" s="27"/>
      <c r="M208" s="5"/>
      <c r="N208" s="5"/>
      <c r="O208" s="29"/>
      <c r="P208" s="29"/>
      <c r="Q208" s="29"/>
      <c r="V208" s="1"/>
    </row>
    <row r="209" spans="1:22" ht="32" x14ac:dyDescent="0.2">
      <c r="A209" s="7">
        <v>46045</v>
      </c>
      <c r="B209" s="33">
        <v>6</v>
      </c>
      <c r="C209" s="6"/>
      <c r="D209" s="91" t="str">
        <f>Table33[[#This Row],[EVENTO 1 PRESC.]]&amp;" + "&amp;Table33[[#This Row],[EVENTO 2 PRESC.]]</f>
        <v xml:space="preserve">Nature's Field Trip - Finca Tenjo TR + 1° + </v>
      </c>
      <c r="E209" s="91" t="str">
        <f>Table334[[#This Row],[EVENTO 1 PYP]]&amp;" + "&amp;Table334[[#This Row],[EVENTO 2 PYP]]</f>
        <v xml:space="preserve"> + </v>
      </c>
      <c r="F209" s="91" t="str">
        <f>Table3345[[#This Row],[EVENTO 1 MYP]]&amp;" + "&amp;Table3345[[#This Row],[EVENTO 2 MYP]]</f>
        <v xml:space="preserve"> + </v>
      </c>
      <c r="G209" s="91" t="str">
        <f>Table33456[[#This Row],[EVENTO 1 DP]]&amp;" + "&amp;Table33456[[#This Row],[EVENTO 2 DP]]</f>
        <v xml:space="preserve"> + </v>
      </c>
      <c r="H209" s="91" t="s">
        <v>90</v>
      </c>
      <c r="I209" s="92"/>
      <c r="J209" s="92"/>
      <c r="K209" s="21">
        <v>14</v>
      </c>
      <c r="L209" s="27"/>
      <c r="M209" s="5"/>
      <c r="N209" s="5"/>
      <c r="O209" s="29"/>
      <c r="P209" s="29"/>
      <c r="Q209" s="29"/>
      <c r="V209" s="1"/>
    </row>
    <row r="210" spans="1:22" ht="24" x14ac:dyDescent="0.2">
      <c r="A210" s="10">
        <v>46046</v>
      </c>
      <c r="B210" s="23" t="s">
        <v>20</v>
      </c>
      <c r="C210" s="9"/>
      <c r="D210" s="85" t="str">
        <f>Table33[[#This Row],[EVENTO 1 PRESC.]]&amp;" + "&amp;Table33[[#This Row],[EVENTO 2 PRESC.]]</f>
        <v xml:space="preserve"> + </v>
      </c>
      <c r="E210" s="85" t="str">
        <f>Table334[[#This Row],[EVENTO 1 PYP]]&amp;" + "&amp;Table334[[#This Row],[EVENTO 2 PYP]]</f>
        <v xml:space="preserve"> + </v>
      </c>
      <c r="F210" s="85" t="str">
        <f>Table3345[[#This Row],[EVENTO 1 MYP]]&amp;" + "&amp;Table3345[[#This Row],[EVENTO 2 MYP]]</f>
        <v xml:space="preserve"> + </v>
      </c>
      <c r="G210" s="85" t="str">
        <f>Table33456[[#This Row],[EVENTO 1 DP]]&amp;" + "&amp;Table33456[[#This Row],[EVENTO 2 DP]]</f>
        <v xml:space="preserve"> + </v>
      </c>
      <c r="H210" s="85"/>
      <c r="I210" s="88"/>
      <c r="J210" s="88"/>
      <c r="K210" s="20"/>
      <c r="L210" s="26"/>
      <c r="M210" s="8"/>
      <c r="N210" s="8"/>
      <c r="O210" s="29"/>
      <c r="P210" s="29"/>
      <c r="Q210" s="29"/>
      <c r="V210" s="1"/>
    </row>
    <row r="211" spans="1:22" ht="24" x14ac:dyDescent="0.2">
      <c r="A211" s="10">
        <v>46047</v>
      </c>
      <c r="B211" s="23" t="s">
        <v>20</v>
      </c>
      <c r="C211" s="9"/>
      <c r="D211" s="85" t="str">
        <f>Table33[[#This Row],[EVENTO 1 PRESC.]]&amp;" + "&amp;Table33[[#This Row],[EVENTO 2 PRESC.]]</f>
        <v xml:space="preserve"> + </v>
      </c>
      <c r="E211" s="85" t="str">
        <f>Table334[[#This Row],[EVENTO 1 PYP]]&amp;" + "&amp;Table334[[#This Row],[EVENTO 2 PYP]]</f>
        <v xml:space="preserve"> + </v>
      </c>
      <c r="F211" s="85" t="str">
        <f>Table3345[[#This Row],[EVENTO 1 MYP]]&amp;" + "&amp;Table3345[[#This Row],[EVENTO 2 MYP]]</f>
        <v xml:space="preserve"> + </v>
      </c>
      <c r="G211" s="85" t="str">
        <f>Table33456[[#This Row],[EVENTO 1 DP]]&amp;" + "&amp;Table33456[[#This Row],[EVENTO 2 DP]]</f>
        <v xml:space="preserve"> + </v>
      </c>
      <c r="H211" s="85"/>
      <c r="I211" s="88"/>
      <c r="J211" s="88"/>
      <c r="K211" s="20"/>
      <c r="L211" s="26"/>
      <c r="M211" s="8"/>
      <c r="N211" s="8"/>
      <c r="O211" s="29"/>
      <c r="P211" s="29"/>
      <c r="Q211" s="29"/>
      <c r="V211" s="1"/>
    </row>
    <row r="212" spans="1:22" ht="24" x14ac:dyDescent="0.2">
      <c r="A212" s="7">
        <v>46048</v>
      </c>
      <c r="B212" s="33">
        <v>1</v>
      </c>
      <c r="C212" s="6"/>
      <c r="D212" s="91" t="str">
        <f>Table33[[#This Row],[EVENTO 1 PRESC.]]&amp;" + "&amp;Table33[[#This Row],[EVENTO 2 PRESC.]]</f>
        <v xml:space="preserve"> + </v>
      </c>
      <c r="E212" s="91" t="str">
        <f>Table334[[#This Row],[EVENTO 1 PYP]]&amp;" + "&amp;Table334[[#This Row],[EVENTO 2 PYP]]</f>
        <v xml:space="preserve"> + </v>
      </c>
      <c r="F212" s="91" t="str">
        <f>Table3345[[#This Row],[EVENTO 1 MYP]]&amp;" + "&amp;Table3345[[#This Row],[EVENTO 2 MYP]]</f>
        <v xml:space="preserve"> + </v>
      </c>
      <c r="G212" s="91" t="str">
        <f>Table33456[[#This Row],[EVENTO 1 DP]]&amp;" + "&amp;Table33456[[#This Row],[EVENTO 2 DP]]</f>
        <v xml:space="preserve"> + </v>
      </c>
      <c r="H212" s="91"/>
      <c r="I212" s="92"/>
      <c r="J212" s="92"/>
      <c r="K212" s="21"/>
      <c r="L212" s="27">
        <f>1+SUM(L203:L209)</f>
        <v>22</v>
      </c>
      <c r="M212" s="5"/>
      <c r="N212" s="5"/>
      <c r="O212" s="29"/>
      <c r="P212" s="29"/>
      <c r="Q212" s="29"/>
      <c r="V212" s="1"/>
    </row>
    <row r="213" spans="1:22" ht="32" x14ac:dyDescent="0.2">
      <c r="A213" s="7">
        <v>46049</v>
      </c>
      <c r="B213" s="33">
        <v>2</v>
      </c>
      <c r="C213" s="6"/>
      <c r="D213" s="91" t="str">
        <f>Table33[[#This Row],[EVENTO 1 PRESC.]]&amp;" + "&amp;Table33[[#This Row],[EVENTO 2 PRESC.]]</f>
        <v xml:space="preserve"> + </v>
      </c>
      <c r="E213" s="91" t="str">
        <f>Table334[[#This Row],[EVENTO 1 PYP]]&amp;" + "&amp;Table334[[#This Row],[EVENTO 2 PYP]]</f>
        <v xml:space="preserve"> + </v>
      </c>
      <c r="F213" s="91" t="str">
        <f>Table3345[[#This Row],[EVENTO 1 MYP]]&amp;" + "&amp;Table3345[[#This Row],[EVENTO 2 MYP]]</f>
        <v xml:space="preserve">MESA DE TRABAJO INERDISCIPLINARIEDAD + </v>
      </c>
      <c r="G213" s="91" t="str">
        <f>Table33456[[#This Row],[EVENTO 1 DP]]&amp;" + "&amp;Table33456[[#This Row],[EVENTO 2 DP]]</f>
        <v xml:space="preserve">Te Oriento 11. 10° VIRTUAL 6:00 P.M.  + </v>
      </c>
      <c r="H213" s="91"/>
      <c r="I213" s="92"/>
      <c r="J213" s="92"/>
      <c r="K213" s="21"/>
      <c r="L213" s="27"/>
      <c r="M213" s="5"/>
      <c r="N213" s="5"/>
      <c r="O213" s="29"/>
      <c r="P213" s="29"/>
      <c r="Q213" s="29"/>
      <c r="V213" s="1"/>
    </row>
    <row r="214" spans="1:22" ht="24" x14ac:dyDescent="0.2">
      <c r="A214" s="7">
        <v>46050</v>
      </c>
      <c r="B214" s="33">
        <v>3</v>
      </c>
      <c r="C214" s="6"/>
      <c r="D214" s="91" t="str">
        <f>Table33[[#This Row],[EVENTO 1 PRESC.]]&amp;" + "&amp;Table33[[#This Row],[EVENTO 2 PRESC.]]</f>
        <v xml:space="preserve"> + </v>
      </c>
      <c r="E214" s="91" t="str">
        <f>Table334[[#This Row],[EVENTO 1 PYP]]&amp;" + "&amp;Table334[[#This Row],[EVENTO 2 PYP]]</f>
        <v xml:space="preserve"> + </v>
      </c>
      <c r="F214" s="91" t="str">
        <f>Table3345[[#This Row],[EVENTO 1 MYP]]&amp;" + "&amp;Table3345[[#This Row],[EVENTO 2 MYP]]</f>
        <v xml:space="preserve"> + </v>
      </c>
      <c r="G214" s="91" t="str">
        <f>Table33456[[#This Row],[EVENTO 1 DP]]&amp;" + "&amp;Table33456[[#This Row],[EVENTO 2 DP]]</f>
        <v xml:space="preserve"> + </v>
      </c>
      <c r="H214" s="91"/>
      <c r="I214" s="92"/>
      <c r="J214" s="92"/>
      <c r="K214" s="21"/>
      <c r="L214" s="27"/>
      <c r="M214" s="5"/>
      <c r="N214" s="5"/>
      <c r="O214" s="29"/>
      <c r="P214" s="29"/>
      <c r="Q214" s="29"/>
      <c r="V214" s="1"/>
    </row>
    <row r="215" spans="1:22" ht="24" x14ac:dyDescent="0.2">
      <c r="A215" s="7">
        <v>46051</v>
      </c>
      <c r="B215" s="33">
        <v>4</v>
      </c>
      <c r="C215" s="6"/>
      <c r="D215" s="91" t="str">
        <f>Table33[[#This Row],[EVENTO 1 PRESC.]]&amp;" + "&amp;Table33[[#This Row],[EVENTO 2 PRESC.]]</f>
        <v xml:space="preserve"> + </v>
      </c>
      <c r="E215" s="91" t="str">
        <f>Table334[[#This Row],[EVENTO 1 PYP]]&amp;" + "&amp;Table334[[#This Row],[EVENTO 2 PYP]]</f>
        <v xml:space="preserve"> + </v>
      </c>
      <c r="F215" s="91" t="str">
        <f>Table3345[[#This Row],[EVENTO 1 MYP]]&amp;" + "&amp;Table3345[[#This Row],[EVENTO 2 MYP]]</f>
        <v xml:space="preserve"> + </v>
      </c>
      <c r="G215" s="91" t="str">
        <f>Table33456[[#This Row],[EVENTO 1 DP]]&amp;" + "&amp;Table33456[[#This Row],[EVENTO 2 DP]]</f>
        <v xml:space="preserve"> + </v>
      </c>
      <c r="H215" s="91"/>
      <c r="I215" s="92"/>
      <c r="J215" s="92"/>
      <c r="K215" s="21"/>
      <c r="L215" s="27"/>
      <c r="M215" s="5"/>
      <c r="N215" s="5"/>
      <c r="O215" s="29"/>
      <c r="P215" s="29"/>
      <c r="Q215" s="29"/>
      <c r="V215" s="1"/>
    </row>
    <row r="216" spans="1:22" ht="24" x14ac:dyDescent="0.2">
      <c r="A216" s="7">
        <v>46052</v>
      </c>
      <c r="B216" s="33">
        <v>5</v>
      </c>
      <c r="C216" s="6"/>
      <c r="D216" s="91" t="str">
        <f>Table33[[#This Row],[EVENTO 1 PRESC.]]&amp;" + "&amp;Table33[[#This Row],[EVENTO 2 PRESC.]]</f>
        <v xml:space="preserve"> + </v>
      </c>
      <c r="E216" s="91" t="str">
        <f>Table334[[#This Row],[EVENTO 1 PYP]]&amp;" + "&amp;Table334[[#This Row],[EVENTO 2 PYP]]</f>
        <v xml:space="preserve"> + </v>
      </c>
      <c r="F216" s="91" t="str">
        <f>Table3345[[#This Row],[EVENTO 1 MYP]]&amp;" + "&amp;Table3345[[#This Row],[EVENTO 2 MYP]]</f>
        <v xml:space="preserve"> + </v>
      </c>
      <c r="G216" s="91" t="str">
        <f>Table33456[[#This Row],[EVENTO 1 DP]]&amp;" + "&amp;Table33456[[#This Row],[EVENTO 2 DP]]</f>
        <v xml:space="preserve"> + </v>
      </c>
      <c r="H216" s="91" t="s">
        <v>91</v>
      </c>
      <c r="I216" s="92"/>
      <c r="J216" s="92"/>
      <c r="K216" s="21"/>
      <c r="L216" s="27"/>
      <c r="M216" s="5"/>
      <c r="N216" s="5"/>
      <c r="O216" s="29"/>
      <c r="P216" s="29"/>
      <c r="Q216" s="29"/>
      <c r="V216" s="1"/>
    </row>
    <row r="217" spans="1:22" ht="24" x14ac:dyDescent="0.2">
      <c r="A217" s="10">
        <v>46053</v>
      </c>
      <c r="B217" s="23" t="s">
        <v>20</v>
      </c>
      <c r="C217" s="9"/>
      <c r="D217" s="85" t="str">
        <f>Table33[[#This Row],[EVENTO 1 PRESC.]]&amp;" + "&amp;Table33[[#This Row],[EVENTO 2 PRESC.]]</f>
        <v xml:space="preserve"> + </v>
      </c>
      <c r="E217" s="85" t="str">
        <f>Table334[[#This Row],[EVENTO 1 PYP]]&amp;" + "&amp;Table334[[#This Row],[EVENTO 2 PYP]]</f>
        <v xml:space="preserve"> + </v>
      </c>
      <c r="F217" s="85" t="str">
        <f>Table3345[[#This Row],[EVENTO 1 MYP]]&amp;" + "&amp;Table3345[[#This Row],[EVENTO 2 MYP]]</f>
        <v xml:space="preserve"> + </v>
      </c>
      <c r="G217" s="85" t="str">
        <f>Table33456[[#This Row],[EVENTO 1 DP]]&amp;" + "&amp;Table33456[[#This Row],[EVENTO 2 DP]]</f>
        <v xml:space="preserve"> + </v>
      </c>
      <c r="H217" s="85"/>
      <c r="I217" s="88"/>
      <c r="J217" s="88"/>
      <c r="K217" s="20"/>
      <c r="L217" s="26"/>
      <c r="M217" s="8"/>
      <c r="N217" s="8"/>
      <c r="O217" s="29"/>
      <c r="P217" s="29"/>
      <c r="Q217" s="29"/>
      <c r="V217" s="1"/>
    </row>
    <row r="218" spans="1:22" ht="24" x14ac:dyDescent="0.2">
      <c r="A218" s="10">
        <v>46054</v>
      </c>
      <c r="B218" s="23" t="s">
        <v>20</v>
      </c>
      <c r="C218" s="9"/>
      <c r="D218" s="85" t="str">
        <f>Table33[[#This Row],[EVENTO 1 PRESC.]]&amp;" + "&amp;Table33[[#This Row],[EVENTO 2 PRESC.]]</f>
        <v xml:space="preserve"> + </v>
      </c>
      <c r="E218" s="85" t="str">
        <f>Table334[[#This Row],[EVENTO 1 PYP]]&amp;" + "&amp;Table334[[#This Row],[EVENTO 2 PYP]]</f>
        <v xml:space="preserve"> + </v>
      </c>
      <c r="F218" s="85" t="str">
        <f>Table3345[[#This Row],[EVENTO 1 MYP]]&amp;" + "&amp;Table3345[[#This Row],[EVENTO 2 MYP]]</f>
        <v xml:space="preserve"> + </v>
      </c>
      <c r="G218" s="85" t="str">
        <f>Table33456[[#This Row],[EVENTO 1 DP]]&amp;" + "&amp;Table33456[[#This Row],[EVENTO 2 DP]]</f>
        <v xml:space="preserve"> + </v>
      </c>
      <c r="H218" s="85"/>
      <c r="I218" s="88"/>
      <c r="J218" s="88"/>
      <c r="K218" s="20"/>
      <c r="L218" s="26"/>
      <c r="M218" s="8"/>
      <c r="N218" s="8"/>
      <c r="O218" s="29"/>
      <c r="P218" s="29"/>
      <c r="Q218" s="29"/>
      <c r="V218" s="1"/>
    </row>
    <row r="219" spans="1:22" ht="24" x14ac:dyDescent="0.2">
      <c r="A219" s="7">
        <v>46055</v>
      </c>
      <c r="B219" s="33">
        <v>6</v>
      </c>
      <c r="C219" s="6"/>
      <c r="D219" s="91" t="str">
        <f>Table33[[#This Row],[EVENTO 1 PRESC.]]&amp;" + "&amp;Table33[[#This Row],[EVENTO 2 PRESC.]]</f>
        <v xml:space="preserve"> + </v>
      </c>
      <c r="E219" s="91" t="str">
        <f>Table334[[#This Row],[EVENTO 1 PYP]]&amp;" + "&amp;Table334[[#This Row],[EVENTO 2 PYP]]</f>
        <v xml:space="preserve"> + </v>
      </c>
      <c r="F219" s="91" t="str">
        <f>Table3345[[#This Row],[EVENTO 1 MYP]]&amp;" + "&amp;Table3345[[#This Row],[EVENTO 2 MYP]]</f>
        <v xml:space="preserve"> + </v>
      </c>
      <c r="G219" s="91" t="str">
        <f>Table33456[[#This Row],[EVENTO 1 DP]]&amp;" + "&amp;Table33456[[#This Row],[EVENTO 2 DP]]</f>
        <v xml:space="preserve">G.11 PRE-ICFES  + </v>
      </c>
      <c r="H219" s="91"/>
      <c r="I219" s="92"/>
      <c r="J219" s="92"/>
      <c r="K219" s="21">
        <v>15</v>
      </c>
      <c r="L219" s="27">
        <f>1+SUM(L210:L216)</f>
        <v>23</v>
      </c>
      <c r="M219" s="5"/>
      <c r="N219" s="5"/>
      <c r="O219" s="29"/>
      <c r="P219" s="29"/>
      <c r="Q219" s="29"/>
      <c r="V219" s="1"/>
    </row>
    <row r="220" spans="1:22" ht="32" x14ac:dyDescent="0.2">
      <c r="A220" s="7">
        <v>46056</v>
      </c>
      <c r="B220" s="33">
        <v>1</v>
      </c>
      <c r="C220" s="6"/>
      <c r="D220" s="91" t="str">
        <f>Table33[[#This Row],[EVENTO 1 PRESC.]]&amp;" + "&amp;Table33[[#This Row],[EVENTO 2 PRESC.]]</f>
        <v xml:space="preserve"> + </v>
      </c>
      <c r="E220" s="91" t="str">
        <f>Table334[[#This Row],[EVENTO 1 PYP]]&amp;" + "&amp;Table334[[#This Row],[EVENTO 2 PYP]]</f>
        <v xml:space="preserve"> + </v>
      </c>
      <c r="F220" s="91" t="str">
        <f>Table3345[[#This Row],[EVENTO 1 MYP]]&amp;" + "&amp;Table3345[[#This Row],[EVENTO 2 MYP]]</f>
        <v xml:space="preserve"> + </v>
      </c>
      <c r="G220" s="91" t="str">
        <f>Table33456[[#This Row],[EVENTO 1 DP]]&amp;" + "&amp;Table33456[[#This Row],[EVENTO 2 DP]]</f>
        <v xml:space="preserve">G.11 PRE-ICFES  + </v>
      </c>
      <c r="H220" s="91"/>
      <c r="I220" s="92" t="s">
        <v>54</v>
      </c>
      <c r="J220" s="92"/>
      <c r="K220" s="21"/>
      <c r="L220" s="27"/>
      <c r="M220" s="5"/>
      <c r="N220" s="5"/>
      <c r="O220" s="29"/>
      <c r="P220" s="29"/>
      <c r="Q220" s="29"/>
      <c r="V220" s="1"/>
    </row>
    <row r="221" spans="1:22" ht="32" x14ac:dyDescent="0.2">
      <c r="A221" s="7">
        <v>46057</v>
      </c>
      <c r="B221" s="33">
        <v>2</v>
      </c>
      <c r="C221" s="6"/>
      <c r="D221" s="91" t="str">
        <f>Table33[[#This Row],[EVENTO 1 PRESC.]]&amp;" + "&amp;Table33[[#This Row],[EVENTO 2 PRESC.]]</f>
        <v xml:space="preserve">BJMS Visit - World Read Aloud Day K4 + K5 + TR + 1° + </v>
      </c>
      <c r="E221" s="91" t="str">
        <f>Table334[[#This Row],[EVENTO 1 PYP]]&amp;" + "&amp;Table334[[#This Row],[EVENTO 2 PYP]]</f>
        <v xml:space="preserve">World Read Aloud Day  + </v>
      </c>
      <c r="F221" s="91" t="str">
        <f>Table3345[[#This Row],[EVENTO 1 MYP]]&amp;" + "&amp;Table3345[[#This Row],[EVENTO 2 MYP]]</f>
        <v xml:space="preserve"> + </v>
      </c>
      <c r="G221" s="91" t="str">
        <f>Table33456[[#This Row],[EVENTO 1 DP]]&amp;" + "&amp;Table33456[[#This Row],[EVENTO 2 DP]]</f>
        <v xml:space="preserve">G.11 PRE-ICFES  + </v>
      </c>
      <c r="H221" s="91"/>
      <c r="I221" s="92"/>
      <c r="J221" s="92"/>
      <c r="K221" s="21"/>
      <c r="L221" s="27"/>
      <c r="M221" s="5"/>
      <c r="N221" s="5"/>
      <c r="O221" s="29"/>
      <c r="P221" s="29"/>
      <c r="Q221" s="29"/>
      <c r="V221" s="1"/>
    </row>
    <row r="222" spans="1:22" ht="48" x14ac:dyDescent="0.2">
      <c r="A222" s="7">
        <v>46058</v>
      </c>
      <c r="B222" s="33">
        <v>3</v>
      </c>
      <c r="C222" s="6"/>
      <c r="D222" s="91" t="str">
        <f>Table33[[#This Row],[EVENTO 1 PRESC.]]&amp;" + "&amp;Table33[[#This Row],[EVENTO 2 PRESC.]]</f>
        <v xml:space="preserve"> + </v>
      </c>
      <c r="E222" s="91" t="str">
        <f>Table334[[#This Row],[EVENTO 1 PYP]]&amp;" + "&amp;Table334[[#This Row],[EVENTO 2 PYP]]</f>
        <v xml:space="preserve"> + </v>
      </c>
      <c r="F222" s="91" t="str">
        <f>Table3345[[#This Row],[EVENTO 1 MYP]]&amp;" + "&amp;Table3345[[#This Row],[EVENTO 2 MYP]]</f>
        <v xml:space="preserve"> + </v>
      </c>
      <c r="G222" s="91" t="str">
        <f>Table33456[[#This Row],[EVENTO 1 DP]]&amp;" + "&amp;Table33456[[#This Row],[EVENTO 2 DP]]</f>
        <v xml:space="preserve">G.11 PRE-ICFES  + </v>
      </c>
      <c r="H222" s="91"/>
      <c r="I222" s="92"/>
      <c r="J222" s="92" t="s">
        <v>92</v>
      </c>
      <c r="K222" s="21"/>
      <c r="L222" s="27"/>
      <c r="M222" s="5"/>
      <c r="N222" s="5"/>
      <c r="O222" s="29"/>
      <c r="P222" s="29"/>
      <c r="Q222" s="29"/>
      <c r="V222" s="1"/>
    </row>
    <row r="223" spans="1:22" ht="48" x14ac:dyDescent="0.2">
      <c r="A223" s="7">
        <v>46059</v>
      </c>
      <c r="B223" s="33">
        <v>4</v>
      </c>
      <c r="C223" s="6"/>
      <c r="D223" s="91" t="str">
        <f>Table33[[#This Row],[EVENTO 1 PRESC.]]&amp;" + "&amp;Table33[[#This Row],[EVENTO 2 PRESC.]]</f>
        <v xml:space="preserve"> + </v>
      </c>
      <c r="E223" s="91" t="str">
        <f>Table334[[#This Row],[EVENTO 1 PYP]]&amp;" + "&amp;Table334[[#This Row],[EVENTO 2 PYP]]</f>
        <v xml:space="preserve"> + </v>
      </c>
      <c r="F223" s="91" t="str">
        <f>Table3345[[#This Row],[EVENTO 1 MYP]]&amp;" + "&amp;Table3345[[#This Row],[EVENTO 2 MYP]]</f>
        <v xml:space="preserve"> + </v>
      </c>
      <c r="G223" s="91" t="str">
        <f>Table33456[[#This Row],[EVENTO 1 DP]]&amp;" + "&amp;Table33456[[#This Row],[EVENTO 2 DP]]</f>
        <v xml:space="preserve">G.11 PRE-ICFES Simulacro + </v>
      </c>
      <c r="H223" s="91"/>
      <c r="I223" s="92"/>
      <c r="J223" s="92" t="s">
        <v>92</v>
      </c>
      <c r="K223" s="21"/>
      <c r="L223" s="27"/>
      <c r="M223" s="5"/>
      <c r="N223" s="5"/>
      <c r="O223" s="29"/>
      <c r="P223" s="29"/>
      <c r="Q223" s="29"/>
      <c r="V223" s="1"/>
    </row>
    <row r="224" spans="1:22" ht="24" x14ac:dyDescent="0.2">
      <c r="A224" s="10">
        <v>46060</v>
      </c>
      <c r="B224" s="23" t="s">
        <v>20</v>
      </c>
      <c r="C224" s="9"/>
      <c r="D224" s="85" t="str">
        <f>Table33[[#This Row],[EVENTO 1 PRESC.]]&amp;" + "&amp;Table33[[#This Row],[EVENTO 2 PRESC.]]</f>
        <v xml:space="preserve"> + </v>
      </c>
      <c r="E224" s="85" t="str">
        <f>Table334[[#This Row],[EVENTO 1 PYP]]&amp;" + "&amp;Table334[[#This Row],[EVENTO 2 PYP]]</f>
        <v xml:space="preserve"> + </v>
      </c>
      <c r="F224" s="85" t="str">
        <f>Table3345[[#This Row],[EVENTO 1 MYP]]&amp;" + "&amp;Table3345[[#This Row],[EVENTO 2 MYP]]</f>
        <v xml:space="preserve"> + </v>
      </c>
      <c r="G224" s="85" t="str">
        <f>Table33456[[#This Row],[EVENTO 1 DP]]&amp;" + "&amp;Table33456[[#This Row],[EVENTO 2 DP]]</f>
        <v xml:space="preserve"> + </v>
      </c>
      <c r="H224" s="85"/>
      <c r="I224" s="88"/>
      <c r="J224" s="88"/>
      <c r="K224" s="20"/>
      <c r="L224" s="26"/>
      <c r="M224" s="8"/>
      <c r="N224" s="8"/>
      <c r="O224" s="29"/>
      <c r="P224" s="29"/>
      <c r="Q224" s="29"/>
      <c r="V224" s="1"/>
    </row>
    <row r="225" spans="1:22" ht="24" x14ac:dyDescent="0.2">
      <c r="A225" s="10">
        <v>46061</v>
      </c>
      <c r="B225" s="23" t="s">
        <v>20</v>
      </c>
      <c r="C225" s="9"/>
      <c r="D225" s="85" t="str">
        <f>Table33[[#This Row],[EVENTO 1 PRESC.]]&amp;" + "&amp;Table33[[#This Row],[EVENTO 2 PRESC.]]</f>
        <v xml:space="preserve"> + </v>
      </c>
      <c r="E225" s="85" t="str">
        <f>Table334[[#This Row],[EVENTO 1 PYP]]&amp;" + "&amp;Table334[[#This Row],[EVENTO 2 PYP]]</f>
        <v xml:space="preserve"> + </v>
      </c>
      <c r="F225" s="85" t="str">
        <f>Table3345[[#This Row],[EVENTO 1 MYP]]&amp;" + "&amp;Table3345[[#This Row],[EVENTO 2 MYP]]</f>
        <v xml:space="preserve"> + </v>
      </c>
      <c r="G225" s="85" t="str">
        <f>Table33456[[#This Row],[EVENTO 1 DP]]&amp;" + "&amp;Table33456[[#This Row],[EVENTO 2 DP]]</f>
        <v xml:space="preserve"> + </v>
      </c>
      <c r="H225" s="85"/>
      <c r="I225" s="88"/>
      <c r="J225" s="88"/>
      <c r="K225" s="20"/>
      <c r="L225" s="26"/>
      <c r="M225" s="8"/>
      <c r="N225" s="8"/>
      <c r="O225" s="29"/>
      <c r="P225" s="29"/>
      <c r="Q225" s="29"/>
      <c r="V225" s="1"/>
    </row>
    <row r="226" spans="1:22" ht="24" x14ac:dyDescent="0.2">
      <c r="A226" s="7">
        <v>46062</v>
      </c>
      <c r="B226" s="33">
        <v>5</v>
      </c>
      <c r="C226" s="6"/>
      <c r="D226" s="91" t="str">
        <f>Table33[[#This Row],[EVENTO 1 PRESC.]]&amp;" + "&amp;Table33[[#This Row],[EVENTO 2 PRESC.]]</f>
        <v xml:space="preserve"> + </v>
      </c>
      <c r="E226" s="91" t="str">
        <f>Table334[[#This Row],[EVENTO 1 PYP]]&amp;" + "&amp;Table334[[#This Row],[EVENTO 2 PYP]]</f>
        <v xml:space="preserve"> + </v>
      </c>
      <c r="F226" s="91" t="str">
        <f>Table3345[[#This Row],[EVENTO 1 MYP]]&amp;" + "&amp;Table3345[[#This Row],[EVENTO 2 MYP]]</f>
        <v xml:space="preserve"> + </v>
      </c>
      <c r="G226" s="91" t="str">
        <f>Table33456[[#This Row],[EVENTO 1 DP]]&amp;" + "&amp;Table33456[[#This Row],[EVENTO 2 DP]]</f>
        <v xml:space="preserve"> + </v>
      </c>
      <c r="H226" s="91"/>
      <c r="I226" s="92"/>
      <c r="J226" s="92"/>
      <c r="K226" s="21"/>
      <c r="L226" s="27">
        <f>1+SUM(L217:L223)</f>
        <v>24</v>
      </c>
      <c r="M226" s="5"/>
      <c r="N226" s="5"/>
      <c r="O226" s="29"/>
      <c r="P226" s="29"/>
      <c r="Q226" s="29"/>
      <c r="V226" s="1"/>
    </row>
    <row r="227" spans="1:22" ht="32" x14ac:dyDescent="0.2">
      <c r="A227" s="7">
        <v>46063</v>
      </c>
      <c r="B227" s="33">
        <v>6</v>
      </c>
      <c r="C227" s="6"/>
      <c r="D227" s="91" t="str">
        <f>Table33[[#This Row],[EVENTO 1 PRESC.]]&amp;" + "&amp;Table33[[#This Row],[EVENTO 2 PRESC.]]</f>
        <v xml:space="preserve"> + </v>
      </c>
      <c r="E227" s="91" t="str">
        <f>Table334[[#This Row],[EVENTO 1 PYP]]&amp;" + "&amp;Table334[[#This Row],[EVENTO 2 PYP]]</f>
        <v xml:space="preserve"> + </v>
      </c>
      <c r="F227" s="91" t="str">
        <f>Table3345[[#This Row],[EVENTO 1 MYP]]&amp;" + "&amp;Table3345[[#This Row],[EVENTO 2 MYP]]</f>
        <v xml:space="preserve"> + </v>
      </c>
      <c r="G227" s="91" t="str">
        <f>Table33456[[#This Row],[EVENTO 1 DP]]&amp;" + "&amp;Table33456[[#This Row],[EVENTO 2 DP]]</f>
        <v xml:space="preserve">EPC DÉCIMO Y ONCE AUTOGESTIÓN  + </v>
      </c>
      <c r="H227" s="91"/>
      <c r="I227" s="92" t="s">
        <v>56</v>
      </c>
      <c r="J227" s="92"/>
      <c r="K227" s="21">
        <v>16</v>
      </c>
      <c r="L227" s="27"/>
      <c r="M227" s="5"/>
      <c r="N227" s="5"/>
      <c r="O227" s="29"/>
      <c r="P227" s="29"/>
      <c r="Q227" s="29"/>
      <c r="V227" s="1"/>
    </row>
    <row r="228" spans="1:22" ht="24" x14ac:dyDescent="0.2">
      <c r="A228" s="7">
        <v>46064</v>
      </c>
      <c r="B228" s="33">
        <v>1</v>
      </c>
      <c r="C228" s="6"/>
      <c r="D228" s="91" t="str">
        <f>Table33[[#This Row],[EVENTO 1 PRESC.]]&amp;" + "&amp;Table33[[#This Row],[EVENTO 2 PRESC.]]</f>
        <v xml:space="preserve"> + </v>
      </c>
      <c r="E228" s="91" t="str">
        <f>Table334[[#This Row],[EVENTO 1 PYP]]&amp;" + "&amp;Table334[[#This Row],[EVENTO 2 PYP]]</f>
        <v xml:space="preserve"> + </v>
      </c>
      <c r="F228" s="91" t="str">
        <f>Table3345[[#This Row],[EVENTO 1 MYP]]&amp;" + "&amp;Table3345[[#This Row],[EVENTO 2 MYP]]</f>
        <v xml:space="preserve"> + </v>
      </c>
      <c r="G228" s="91" t="str">
        <f>Table33456[[#This Row],[EVENTO 1 DP]]&amp;" + "&amp;Table33456[[#This Row],[EVENTO 2 DP]]</f>
        <v xml:space="preserve"> + </v>
      </c>
      <c r="H228" s="91"/>
      <c r="I228" s="92"/>
      <c r="J228" s="92"/>
      <c r="K228" s="21"/>
      <c r="L228" s="27"/>
      <c r="M228" s="5"/>
      <c r="N228" s="5"/>
      <c r="O228" s="29"/>
      <c r="P228" s="29"/>
      <c r="Q228" s="29"/>
      <c r="V228" s="1"/>
    </row>
    <row r="229" spans="1:22" ht="32" x14ac:dyDescent="0.2">
      <c r="A229" s="7">
        <v>46065</v>
      </c>
      <c r="B229" s="33">
        <v>2</v>
      </c>
      <c r="C229" s="6"/>
      <c r="D229" s="91" t="str">
        <f>Table33[[#This Row],[EVENTO 1 PRESC.]]&amp;" + "&amp;Table33[[#This Row],[EVENTO 2 PRESC.]]</f>
        <v xml:space="preserve">Nature's Field Trip - Cerro La Conejera K4 + K5 + </v>
      </c>
      <c r="E229" s="91" t="str">
        <f>Table334[[#This Row],[EVENTO 1 PYP]]&amp;" + "&amp;Table334[[#This Row],[EVENTO 2 PYP]]</f>
        <v xml:space="preserve"> + </v>
      </c>
      <c r="F229" s="91" t="str">
        <f>Table3345[[#This Row],[EVENTO 1 MYP]]&amp;" + "&amp;Table3345[[#This Row],[EVENTO 2 MYP]]</f>
        <v xml:space="preserve"> + </v>
      </c>
      <c r="G229" s="91" t="str">
        <f>Table33456[[#This Row],[EVENTO 1 DP]]&amp;" + "&amp;Table33456[[#This Row],[EVENTO 2 DP]]</f>
        <v xml:space="preserve"> + </v>
      </c>
      <c r="H229" s="91"/>
      <c r="I229" s="92"/>
      <c r="J229" s="92"/>
      <c r="K229" s="21"/>
      <c r="L229" s="27"/>
      <c r="M229" s="5"/>
      <c r="N229" s="5"/>
      <c r="O229" s="29"/>
      <c r="P229" s="29"/>
      <c r="Q229" s="29"/>
      <c r="V229" s="1"/>
    </row>
    <row r="230" spans="1:22" ht="24" x14ac:dyDescent="0.2">
      <c r="A230" s="7">
        <v>46066</v>
      </c>
      <c r="B230" s="33">
        <v>3</v>
      </c>
      <c r="C230" s="6"/>
      <c r="D230" s="91" t="str">
        <f>Table33[[#This Row],[EVENTO 1 PRESC.]]&amp;" + "&amp;Table33[[#This Row],[EVENTO 2 PRESC.]]</f>
        <v xml:space="preserve">Valentine's Day  + </v>
      </c>
      <c r="E230" s="91" t="str">
        <f>Table334[[#This Row],[EVENTO 1 PYP]]&amp;" + "&amp;Table334[[#This Row],[EVENTO 2 PYP]]</f>
        <v xml:space="preserve">Valentine's Day  + </v>
      </c>
      <c r="F230" s="91" t="str">
        <f>Table3345[[#This Row],[EVENTO 1 MYP]]&amp;" + "&amp;Table3345[[#This Row],[EVENTO 2 MYP]]</f>
        <v xml:space="preserve"> + </v>
      </c>
      <c r="G230" s="91" t="str">
        <f>Table33456[[#This Row],[EVENTO 1 DP]]&amp;" + "&amp;Table33456[[#This Row],[EVENTO 2 DP]]</f>
        <v xml:space="preserve">OPEN CAMPUS SABANA  + </v>
      </c>
      <c r="H230" s="91"/>
      <c r="I230" s="92"/>
      <c r="J230" s="92"/>
      <c r="K230" s="21"/>
      <c r="L230" s="27"/>
      <c r="M230" s="5"/>
      <c r="N230" s="5"/>
      <c r="O230" s="29"/>
      <c r="P230" s="29"/>
      <c r="Q230" s="29"/>
      <c r="V230" s="1"/>
    </row>
    <row r="231" spans="1:22" ht="24" x14ac:dyDescent="0.2">
      <c r="A231" s="10">
        <v>46067</v>
      </c>
      <c r="B231" s="23" t="s">
        <v>20</v>
      </c>
      <c r="C231" s="9"/>
      <c r="D231" s="85" t="str">
        <f>Table33[[#This Row],[EVENTO 1 PRESC.]]&amp;" + "&amp;Table33[[#This Row],[EVENTO 2 PRESC.]]</f>
        <v xml:space="preserve"> + </v>
      </c>
      <c r="E231" s="85" t="str">
        <f>Table334[[#This Row],[EVENTO 1 PYP]]&amp;" + "&amp;Table334[[#This Row],[EVENTO 2 PYP]]</f>
        <v xml:space="preserve"> + </v>
      </c>
      <c r="F231" s="85" t="str">
        <f>Table3345[[#This Row],[EVENTO 1 MYP]]&amp;" + "&amp;Table3345[[#This Row],[EVENTO 2 MYP]]</f>
        <v xml:space="preserve"> + </v>
      </c>
      <c r="G231" s="85" t="str">
        <f>Table33456[[#This Row],[EVENTO 1 DP]]&amp;" + "&amp;Table33456[[#This Row],[EVENTO 2 DP]]</f>
        <v xml:space="preserve"> + </v>
      </c>
      <c r="H231" s="85"/>
      <c r="I231" s="88" t="s">
        <v>93</v>
      </c>
      <c r="J231" s="88"/>
      <c r="K231" s="20"/>
      <c r="L231" s="26"/>
      <c r="M231" s="8"/>
      <c r="N231" s="8"/>
      <c r="O231" s="29"/>
      <c r="P231" s="29"/>
      <c r="Q231" s="29"/>
      <c r="V231" s="1"/>
    </row>
    <row r="232" spans="1:22" ht="24" x14ac:dyDescent="0.2">
      <c r="A232" s="10">
        <v>46068</v>
      </c>
      <c r="B232" s="23" t="s">
        <v>20</v>
      </c>
      <c r="C232" s="9"/>
      <c r="D232" s="85" t="str">
        <f>Table33[[#This Row],[EVENTO 1 PRESC.]]&amp;" + "&amp;Table33[[#This Row],[EVENTO 2 PRESC.]]</f>
        <v xml:space="preserve"> + </v>
      </c>
      <c r="E232" s="85" t="str">
        <f>Table334[[#This Row],[EVENTO 1 PYP]]&amp;" + "&amp;Table334[[#This Row],[EVENTO 2 PYP]]</f>
        <v xml:space="preserve"> + </v>
      </c>
      <c r="F232" s="85" t="str">
        <f>Table3345[[#This Row],[EVENTO 1 MYP]]&amp;" + "&amp;Table3345[[#This Row],[EVENTO 2 MYP]]</f>
        <v xml:space="preserve"> + </v>
      </c>
      <c r="G232" s="85" t="str">
        <f>Table33456[[#This Row],[EVENTO 1 DP]]&amp;" + "&amp;Table33456[[#This Row],[EVENTO 2 DP]]</f>
        <v xml:space="preserve"> + </v>
      </c>
      <c r="H232" s="85"/>
      <c r="I232" s="88"/>
      <c r="J232" s="88"/>
      <c r="K232" s="20"/>
      <c r="L232" s="26"/>
      <c r="M232" s="8"/>
      <c r="N232" s="8"/>
      <c r="O232" s="29"/>
      <c r="P232" s="29"/>
      <c r="Q232" s="29"/>
      <c r="V232" s="1"/>
    </row>
    <row r="233" spans="1:22" ht="24" x14ac:dyDescent="0.2">
      <c r="A233" s="7">
        <v>46069</v>
      </c>
      <c r="B233" s="33">
        <v>4</v>
      </c>
      <c r="C233" s="6"/>
      <c r="D233" s="91" t="str">
        <f>Table33[[#This Row],[EVENTO 1 PRESC.]]&amp;" + "&amp;Table33[[#This Row],[EVENTO 2 PRESC.]]</f>
        <v xml:space="preserve">Notas parciales en Phidias  + </v>
      </c>
      <c r="E233" s="91" t="str">
        <f>Table334[[#This Row],[EVENTO 1 PYP]]&amp;" + "&amp;Table334[[#This Row],[EVENTO 2 PYP]]</f>
        <v xml:space="preserve">Notas parciales en Phidias  + </v>
      </c>
      <c r="F233" s="91" t="str">
        <f>Table3345[[#This Row],[EVENTO 1 MYP]]&amp;" + "&amp;Table3345[[#This Row],[EVENTO 2 MYP]]</f>
        <v xml:space="preserve"> + </v>
      </c>
      <c r="G233" s="91" t="str">
        <f>Table33456[[#This Row],[EVENTO 1 DP]]&amp;" + "&amp;Table33456[[#This Row],[EVENTO 2 DP]]</f>
        <v xml:space="preserve"> + </v>
      </c>
      <c r="H233" s="91"/>
      <c r="I233" s="92"/>
      <c r="J233" s="92"/>
      <c r="K233" s="21"/>
      <c r="L233" s="27">
        <f>1+SUM(L224:L230)</f>
        <v>25</v>
      </c>
      <c r="M233" s="5"/>
      <c r="N233" s="5"/>
      <c r="O233" s="29"/>
      <c r="P233" s="29"/>
      <c r="Q233" s="29"/>
      <c r="V233" s="1"/>
    </row>
    <row r="234" spans="1:22" ht="80" x14ac:dyDescent="0.2">
      <c r="A234" s="7">
        <v>46070</v>
      </c>
      <c r="B234" s="33">
        <v>5</v>
      </c>
      <c r="C234" s="6"/>
      <c r="D234" s="91" t="str">
        <f>Table33[[#This Row],[EVENTO 1 PRESC.]]&amp;" + "&amp;Table33[[#This Row],[EVENTO 2 PRESC.]]</f>
        <v xml:space="preserve"> + </v>
      </c>
      <c r="E234" s="91" t="str">
        <f>Table334[[#This Row],[EVENTO 1 PYP]]&amp;" + "&amp;Table334[[#This Row],[EVENTO 2 PYP]]</f>
        <v xml:space="preserve"> + </v>
      </c>
      <c r="F234" s="91" t="str">
        <f>Table3345[[#This Row],[EVENTO 1 MYP]]&amp;" + "&amp;Table3345[[#This Row],[EVENTO 2 MYP]]</f>
        <v xml:space="preserve"> + </v>
      </c>
      <c r="G234" s="91" t="str">
        <f>Table33456[[#This Row],[EVENTO 1 DP]]&amp;" + "&amp;Table33456[[#This Row],[EVENTO 2 DP]]</f>
        <v xml:space="preserve"> + </v>
      </c>
      <c r="H234" s="91"/>
      <c r="I234" s="92" t="s">
        <v>94</v>
      </c>
      <c r="J234" s="92"/>
      <c r="K234" s="21"/>
      <c r="L234" s="27"/>
      <c r="M234" s="5"/>
      <c r="N234" s="5"/>
      <c r="O234" s="29"/>
      <c r="P234" s="29"/>
      <c r="Q234" s="29"/>
      <c r="V234" s="1"/>
    </row>
    <row r="235" spans="1:22" ht="24" x14ac:dyDescent="0.2">
      <c r="A235" s="7">
        <v>46071</v>
      </c>
      <c r="B235" s="33">
        <v>6</v>
      </c>
      <c r="C235" s="6"/>
      <c r="D235" s="91" t="str">
        <f>Table33[[#This Row],[EVENTO 1 PRESC.]]&amp;" + "&amp;Table33[[#This Row],[EVENTO 2 PRESC.]]</f>
        <v xml:space="preserve">Ash Wednesday + </v>
      </c>
      <c r="E235" s="91" t="str">
        <f>Table334[[#This Row],[EVENTO 1 PYP]]&amp;" + "&amp;Table334[[#This Row],[EVENTO 2 PYP]]</f>
        <v xml:space="preserve">Ash Wednesday + </v>
      </c>
      <c r="F235" s="91" t="str">
        <f>Table3345[[#This Row],[EVENTO 1 MYP]]&amp;" + "&amp;Table3345[[#This Row],[EVENTO 2 MYP]]</f>
        <v xml:space="preserve"> + </v>
      </c>
      <c r="G235" s="91" t="str">
        <f>Table33456[[#This Row],[EVENTO 1 DP]]&amp;" + "&amp;Table33456[[#This Row],[EVENTO 2 DP]]</f>
        <v xml:space="preserve"> + </v>
      </c>
      <c r="H235" s="91"/>
      <c r="I235" s="92"/>
      <c r="J235" s="92"/>
      <c r="K235" s="21">
        <v>17</v>
      </c>
      <c r="L235" s="27"/>
      <c r="M235" s="5"/>
      <c r="N235" s="5"/>
      <c r="O235" s="29"/>
      <c r="P235" s="29"/>
      <c r="Q235" s="29"/>
      <c r="V235" s="1"/>
    </row>
    <row r="236" spans="1:22" ht="64" x14ac:dyDescent="0.2">
      <c r="A236" s="7">
        <v>46072</v>
      </c>
      <c r="B236" s="33">
        <v>1</v>
      </c>
      <c r="C236" s="6"/>
      <c r="D236" s="91" t="str">
        <f>Table33[[#This Row],[EVENTO 1 PRESC.]]&amp;" + "&amp;Table33[[#This Row],[EVENTO 2 PRESC.]]</f>
        <v xml:space="preserve">EXCURSIÓN G.01 + </v>
      </c>
      <c r="E236" s="91" t="str">
        <f>Table334[[#This Row],[EVENTO 1 PYP]]&amp;" + "&amp;Table334[[#This Row],[EVENTO 2 PYP]]</f>
        <v xml:space="preserve">EXCURSIÓN G.02 + </v>
      </c>
      <c r="F236" s="91" t="str">
        <f>Table3345[[#This Row],[EVENTO 1 MYP]]&amp;" + "&amp;Table3345[[#This Row],[EVENTO 2 MYP]]</f>
        <v xml:space="preserve"> + </v>
      </c>
      <c r="G236" s="91" t="str">
        <f>Table33456[[#This Row],[EVENTO 1 DP]]&amp;" + "&amp;Table33456[[#This Row],[EVENTO 2 DP]]</f>
        <v xml:space="preserve"> + </v>
      </c>
      <c r="H236" s="91"/>
      <c r="I236" s="92"/>
      <c r="J236" s="92" t="s">
        <v>95</v>
      </c>
      <c r="K236" s="21"/>
      <c r="L236" s="27"/>
      <c r="M236" s="5"/>
      <c r="N236" s="5"/>
      <c r="O236" s="29"/>
      <c r="P236" s="29"/>
      <c r="Q236" s="29"/>
      <c r="V236" s="1"/>
    </row>
    <row r="237" spans="1:22" ht="64" x14ac:dyDescent="0.2">
      <c r="A237" s="7">
        <v>46073</v>
      </c>
      <c r="B237" s="33">
        <v>2</v>
      </c>
      <c r="C237" s="6"/>
      <c r="D237" s="91" t="str">
        <f>Table33[[#This Row],[EVENTO 1 PRESC.]]&amp;" + "&amp;Table33[[#This Row],[EVENTO 2 PRESC.]]</f>
        <v xml:space="preserve">EXCURSIÓN G.01 + </v>
      </c>
      <c r="E237" s="91" t="str">
        <f>Table334[[#This Row],[EVENTO 1 PYP]]&amp;" + "&amp;Table334[[#This Row],[EVENTO 2 PYP]]</f>
        <v xml:space="preserve">EXCURSIÓN G.02 + </v>
      </c>
      <c r="F237" s="91" t="str">
        <f>Table3345[[#This Row],[EVENTO 1 MYP]]&amp;" + "&amp;Table3345[[#This Row],[EVENTO 2 MYP]]</f>
        <v xml:space="preserve">MUN - CIEDI + </v>
      </c>
      <c r="G237" s="91" t="str">
        <f>Table33456[[#This Row],[EVENTO 1 DP]]&amp;" + "&amp;Table33456[[#This Row],[EVENTO 2 DP]]</f>
        <v xml:space="preserve">MUN CIEDI + </v>
      </c>
      <c r="H237" s="91" t="s">
        <v>96</v>
      </c>
      <c r="I237" s="92"/>
      <c r="J237" s="92" t="s">
        <v>95</v>
      </c>
      <c r="K237" s="21"/>
      <c r="L237" s="27"/>
      <c r="M237" s="5"/>
      <c r="N237" s="5"/>
      <c r="O237" s="29"/>
      <c r="P237" s="29"/>
      <c r="Q237" s="29"/>
      <c r="V237" s="1"/>
    </row>
    <row r="238" spans="1:22" ht="64" x14ac:dyDescent="0.2">
      <c r="A238" s="10">
        <v>46074</v>
      </c>
      <c r="B238" s="23" t="s">
        <v>20</v>
      </c>
      <c r="C238" s="9"/>
      <c r="D238" s="85" t="str">
        <f>Table33[[#This Row],[EVENTO 1 PRESC.]]&amp;" + "&amp;Table33[[#This Row],[EVENTO 2 PRESC.]]</f>
        <v xml:space="preserve"> + </v>
      </c>
      <c r="E238" s="85" t="str">
        <f>Table334[[#This Row],[EVENTO 1 PYP]]&amp;" + "&amp;Table334[[#This Row],[EVENTO 2 PYP]]</f>
        <v xml:space="preserve"> + </v>
      </c>
      <c r="F238" s="85" t="str">
        <f>Table3345[[#This Row],[EVENTO 1 MYP]]&amp;" + "&amp;Table3345[[#This Row],[EVENTO 2 MYP]]</f>
        <v xml:space="preserve"> + </v>
      </c>
      <c r="G238" s="85" t="str">
        <f>Table33456[[#This Row],[EVENTO 1 DP]]&amp;" + "&amp;Table33456[[#This Row],[EVENTO 2 DP]]</f>
        <v xml:space="preserve"> + </v>
      </c>
      <c r="H238" s="85"/>
      <c r="I238" s="88"/>
      <c r="J238" s="88" t="s">
        <v>95</v>
      </c>
      <c r="K238" s="20"/>
      <c r="L238" s="26"/>
      <c r="M238" s="8"/>
      <c r="N238" s="8"/>
      <c r="O238" s="29"/>
      <c r="P238" s="29"/>
      <c r="Q238" s="29"/>
      <c r="V238" s="1"/>
    </row>
    <row r="239" spans="1:22" ht="24" x14ac:dyDescent="0.2">
      <c r="A239" s="10">
        <v>46075</v>
      </c>
      <c r="B239" s="23" t="s">
        <v>20</v>
      </c>
      <c r="C239" s="9"/>
      <c r="D239" s="85" t="str">
        <f>Table33[[#This Row],[EVENTO 1 PRESC.]]&amp;" + "&amp;Table33[[#This Row],[EVENTO 2 PRESC.]]</f>
        <v xml:space="preserve"> + </v>
      </c>
      <c r="E239" s="85" t="str">
        <f>Table334[[#This Row],[EVENTO 1 PYP]]&amp;" + "&amp;Table334[[#This Row],[EVENTO 2 PYP]]</f>
        <v xml:space="preserve"> + </v>
      </c>
      <c r="F239" s="85" t="str">
        <f>Table3345[[#This Row],[EVENTO 1 MYP]]&amp;" + "&amp;Table3345[[#This Row],[EVENTO 2 MYP]]</f>
        <v xml:space="preserve"> + </v>
      </c>
      <c r="G239" s="85" t="str">
        <f>Table33456[[#This Row],[EVENTO 1 DP]]&amp;" + "&amp;Table33456[[#This Row],[EVENTO 2 DP]]</f>
        <v xml:space="preserve"> + </v>
      </c>
      <c r="H239" s="85"/>
      <c r="I239" s="88"/>
      <c r="J239" s="88"/>
      <c r="K239" s="20"/>
      <c r="L239" s="26"/>
      <c r="M239" s="8"/>
      <c r="N239" s="8"/>
      <c r="O239" s="29"/>
      <c r="P239" s="29"/>
      <c r="Q239" s="29"/>
      <c r="V239" s="1"/>
    </row>
    <row r="240" spans="1:22" ht="24" x14ac:dyDescent="0.2">
      <c r="A240" s="7">
        <v>46076</v>
      </c>
      <c r="B240" s="33">
        <v>3</v>
      </c>
      <c r="C240" s="6"/>
      <c r="D240" s="91" t="str">
        <f>Table33[[#This Row],[EVENTO 1 PRESC.]]&amp;" + "&amp;Table33[[#This Row],[EVENTO 2 PRESC.]]</f>
        <v xml:space="preserve">Evaluation Committees III Bim + </v>
      </c>
      <c r="E240" s="91" t="str">
        <f>Table334[[#This Row],[EVENTO 1 PYP]]&amp;" + "&amp;Table334[[#This Row],[EVENTO 2 PYP]]</f>
        <v xml:space="preserve">Evaluation Committees III Bim + </v>
      </c>
      <c r="F240" s="91" t="str">
        <f>Table3345[[#This Row],[EVENTO 1 MYP]]&amp;" + "&amp;Table3345[[#This Row],[EVENTO 2 MYP]]</f>
        <v xml:space="preserve"> + </v>
      </c>
      <c r="G240" s="91" t="str">
        <f>Table33456[[#This Row],[EVENTO 1 DP]]&amp;" + "&amp;Table33456[[#This Row],[EVENTO 2 DP]]</f>
        <v xml:space="preserve"> + </v>
      </c>
      <c r="H240" s="91"/>
      <c r="I240" s="92"/>
      <c r="J240" s="92"/>
      <c r="K240" s="21"/>
      <c r="L240" s="27">
        <f>1+SUM(L231:L237)</f>
        <v>26</v>
      </c>
      <c r="M240" s="5"/>
      <c r="N240" s="5"/>
      <c r="O240" s="29"/>
      <c r="P240" s="29" t="s">
        <v>97</v>
      </c>
      <c r="Q240" s="29"/>
      <c r="V240" s="1"/>
    </row>
    <row r="241" spans="1:22" ht="32" x14ac:dyDescent="0.2">
      <c r="A241" s="7">
        <v>46077</v>
      </c>
      <c r="B241" s="33">
        <v>4</v>
      </c>
      <c r="C241" s="6"/>
      <c r="D241" s="91" t="str">
        <f>Table33[[#This Row],[EVENTO 1 PRESC.]]&amp;" + "&amp;Table33[[#This Row],[EVENTO 2 PRESC.]]</f>
        <v xml:space="preserve">Evaluation Committees III Bim + </v>
      </c>
      <c r="E241" s="91" t="str">
        <f>Table334[[#This Row],[EVENTO 1 PYP]]&amp;" + "&amp;Table334[[#This Row],[EVENTO 2 PYP]]</f>
        <v xml:space="preserve">Evaluation Committees III Bim + </v>
      </c>
      <c r="F241" s="91" t="str">
        <f>Table3345[[#This Row],[EVENTO 1 MYP]]&amp;" + "&amp;Table3345[[#This Row],[EVENTO 2 MYP]]</f>
        <v xml:space="preserve"> + </v>
      </c>
      <c r="G241" s="91" t="str">
        <f>Table33456[[#This Row],[EVENTO 1 DP]]&amp;" + "&amp;Table33456[[#This Row],[EVENTO 2 DP]]</f>
        <v xml:space="preserve">SEGUNDA APLICACIÓN DE ENCUESTA DE CLIMA ESCOLAR  + </v>
      </c>
      <c r="H241" s="91"/>
      <c r="I241" s="92"/>
      <c r="J241" s="92"/>
      <c r="K241" s="21"/>
      <c r="L241" s="27"/>
      <c r="M241" s="5"/>
      <c r="N241" s="5"/>
      <c r="O241" s="29"/>
      <c r="P241" s="29"/>
      <c r="Q241" s="29"/>
      <c r="V241" s="1"/>
    </row>
    <row r="242" spans="1:22" ht="24" x14ac:dyDescent="0.2">
      <c r="A242" s="7">
        <v>46078</v>
      </c>
      <c r="B242" s="33">
        <v>5</v>
      </c>
      <c r="C242" s="6"/>
      <c r="D242" s="91" t="str">
        <f>Table33[[#This Row],[EVENTO 1 PRESC.]]&amp;" + "&amp;Table33[[#This Row],[EVENTO 2 PRESC.]]</f>
        <v xml:space="preserve">Evaluation Committees III Bim + </v>
      </c>
      <c r="E242" s="91" t="str">
        <f>Table334[[#This Row],[EVENTO 1 PYP]]&amp;" + "&amp;Table334[[#This Row],[EVENTO 2 PYP]]</f>
        <v xml:space="preserve">Evaluation Committees III Bim + </v>
      </c>
      <c r="F242" s="91" t="str">
        <f>Table3345[[#This Row],[EVENTO 1 MYP]]&amp;" + "&amp;Table3345[[#This Row],[EVENTO 2 MYP]]</f>
        <v xml:space="preserve"> + </v>
      </c>
      <c r="G242" s="91" t="str">
        <f>Table33456[[#This Row],[EVENTO 1 DP]]&amp;" + "&amp;Table33456[[#This Row],[EVENTO 2 DP]]</f>
        <v xml:space="preserve">Exámenes Mocks 11DP + </v>
      </c>
      <c r="H242" s="91"/>
      <c r="I242" s="92"/>
      <c r="J242" s="92"/>
      <c r="K242" s="21"/>
      <c r="L242" s="27"/>
      <c r="M242" s="5"/>
      <c r="N242" s="5"/>
      <c r="O242" s="29"/>
      <c r="P242" s="29"/>
      <c r="Q242" s="29"/>
      <c r="V242" s="1"/>
    </row>
    <row r="243" spans="1:22" ht="32" x14ac:dyDescent="0.2">
      <c r="A243" s="7">
        <v>46079</v>
      </c>
      <c r="B243" s="33">
        <v>6</v>
      </c>
      <c r="C243" s="6"/>
      <c r="D243" s="91" t="str">
        <f>Table33[[#This Row],[EVENTO 1 PRESC.]]&amp;" + "&amp;Table33[[#This Row],[EVENTO 2 PRESC.]]</f>
        <v xml:space="preserve">IB Learner Profile Assembly (Caring &amp; Risk-takers) + </v>
      </c>
      <c r="E243" s="91" t="str">
        <f>Table334[[#This Row],[EVENTO 1 PYP]]&amp;" + "&amp;Table334[[#This Row],[EVENTO 2 PYP]]</f>
        <v xml:space="preserve">IB Learner Profile Assembly (Caring &amp; Risk-takers) + </v>
      </c>
      <c r="F243" s="91" t="str">
        <f>Table3345[[#This Row],[EVENTO 1 MYP]]&amp;" + "&amp;Table3345[[#This Row],[EVENTO 2 MYP]]</f>
        <v xml:space="preserve"> + </v>
      </c>
      <c r="G243" s="91" t="str">
        <f>Table33456[[#This Row],[EVENTO 1 DP]]&amp;" + "&amp;Table33456[[#This Row],[EVENTO 2 DP]]</f>
        <v xml:space="preserve">Exámenes Mocks 11DP + </v>
      </c>
      <c r="H243" s="91"/>
      <c r="I243" s="92"/>
      <c r="J243" s="92"/>
      <c r="K243" s="21">
        <v>18</v>
      </c>
      <c r="L243" s="27"/>
      <c r="M243" s="5"/>
      <c r="N243" s="5"/>
      <c r="O243" s="29"/>
      <c r="P243" s="29"/>
      <c r="Q243" s="29"/>
      <c r="V243" s="1"/>
    </row>
    <row r="244" spans="1:22" ht="24" x14ac:dyDescent="0.2">
      <c r="A244" s="7">
        <v>46080</v>
      </c>
      <c r="B244" s="33">
        <v>1</v>
      </c>
      <c r="C244" s="6"/>
      <c r="D244" s="91" t="str">
        <f>Table33[[#This Row],[EVENTO 1 PRESC.]]&amp;" + "&amp;Table33[[#This Row],[EVENTO 2 PRESC.]]</f>
        <v xml:space="preserve"> + </v>
      </c>
      <c r="E244" s="91" t="str">
        <f>Table334[[#This Row],[EVENTO 1 PYP]]&amp;" + "&amp;Table334[[#This Row],[EVENTO 2 PYP]]</f>
        <v xml:space="preserve"> + </v>
      </c>
      <c r="F244" s="91" t="str">
        <f>Table3345[[#This Row],[EVENTO 1 MYP]]&amp;" + "&amp;Table3345[[#This Row],[EVENTO 2 MYP]]</f>
        <v xml:space="preserve"> + </v>
      </c>
      <c r="G244" s="91" t="str">
        <f>Table33456[[#This Row],[EVENTO 1 DP]]&amp;" + "&amp;Table33456[[#This Row],[EVENTO 2 DP]]</f>
        <v xml:space="preserve">Exámenes Mocks 11DP + </v>
      </c>
      <c r="H244" s="91"/>
      <c r="I244" s="92"/>
      <c r="J244" s="92"/>
      <c r="K244" s="21"/>
      <c r="L244" s="27"/>
      <c r="M244" s="5"/>
      <c r="N244" s="5"/>
      <c r="O244" s="29"/>
      <c r="P244" s="29"/>
      <c r="Q244" s="29"/>
      <c r="V244" s="1"/>
    </row>
    <row r="245" spans="1:22" ht="24" x14ac:dyDescent="0.2">
      <c r="A245" s="10">
        <v>46081</v>
      </c>
      <c r="B245" s="23" t="s">
        <v>20</v>
      </c>
      <c r="C245" s="9"/>
      <c r="D245" s="85" t="str">
        <f>Table33[[#This Row],[EVENTO 1 PRESC.]]&amp;" + "&amp;Table33[[#This Row],[EVENTO 2 PRESC.]]</f>
        <v xml:space="preserve"> + </v>
      </c>
      <c r="E245" s="85" t="str">
        <f>Table334[[#This Row],[EVENTO 1 PYP]]&amp;" + "&amp;Table334[[#This Row],[EVENTO 2 PYP]]</f>
        <v xml:space="preserve"> + </v>
      </c>
      <c r="F245" s="85" t="str">
        <f>Table3345[[#This Row],[EVENTO 1 MYP]]&amp;" + "&amp;Table3345[[#This Row],[EVENTO 2 MYP]]</f>
        <v xml:space="preserve"> + </v>
      </c>
      <c r="G245" s="85" t="str">
        <f>Table33456[[#This Row],[EVENTO 1 DP]]&amp;" + "&amp;Table33456[[#This Row],[EVENTO 2 DP]]</f>
        <v xml:space="preserve"> + </v>
      </c>
      <c r="H245" s="85"/>
      <c r="I245" s="88"/>
      <c r="J245" s="88"/>
      <c r="K245" s="20"/>
      <c r="L245" s="26"/>
      <c r="M245" s="8"/>
      <c r="N245" s="8"/>
      <c r="O245" s="29"/>
      <c r="P245" s="29"/>
      <c r="Q245" s="29"/>
      <c r="V245" s="1"/>
    </row>
    <row r="246" spans="1:22" ht="24" x14ac:dyDescent="0.2">
      <c r="A246" s="10">
        <v>46082</v>
      </c>
      <c r="B246" s="23" t="s">
        <v>20</v>
      </c>
      <c r="C246" s="9"/>
      <c r="D246" s="85" t="str">
        <f>Table33[[#This Row],[EVENTO 1 PRESC.]]&amp;" + "&amp;Table33[[#This Row],[EVENTO 2 PRESC.]]</f>
        <v xml:space="preserve"> + </v>
      </c>
      <c r="E246" s="85" t="str">
        <f>Table334[[#This Row],[EVENTO 1 PYP]]&amp;" + "&amp;Table334[[#This Row],[EVENTO 2 PYP]]</f>
        <v xml:space="preserve"> + </v>
      </c>
      <c r="F246" s="85" t="str">
        <f>Table3345[[#This Row],[EVENTO 1 MYP]]&amp;" + "&amp;Table3345[[#This Row],[EVENTO 2 MYP]]</f>
        <v xml:space="preserve"> + </v>
      </c>
      <c r="G246" s="85" t="str">
        <f>Table33456[[#This Row],[EVENTO 1 DP]]&amp;" + "&amp;Table33456[[#This Row],[EVENTO 2 DP]]</f>
        <v xml:space="preserve"> + </v>
      </c>
      <c r="H246" s="85"/>
      <c r="I246" s="88"/>
      <c r="J246" s="88"/>
      <c r="K246" s="20"/>
      <c r="L246" s="26"/>
      <c r="M246" s="8"/>
      <c r="N246" s="8"/>
      <c r="O246" s="29"/>
      <c r="P246" s="29"/>
      <c r="Q246" s="29"/>
      <c r="V246" s="1"/>
    </row>
    <row r="247" spans="1:22" ht="32" x14ac:dyDescent="0.2">
      <c r="A247" s="7">
        <v>46083</v>
      </c>
      <c r="B247" s="33">
        <v>2</v>
      </c>
      <c r="C247" s="6"/>
      <c r="D247" s="91" t="str">
        <f>Table33[[#This Row],[EVENTO 1 PRESC.]]&amp;" + "&amp;Table33[[#This Row],[EVENTO 2 PRESC.]]</f>
        <v xml:space="preserve">SEGUNDA APLICACIÓN ENCUESTA CLIMA ESCOLAR  + </v>
      </c>
      <c r="E247" s="91" t="str">
        <f>Table334[[#This Row],[EVENTO 1 PYP]]&amp;" + "&amp;Table334[[#This Row],[EVENTO 2 PYP]]</f>
        <v xml:space="preserve">SEGUNDA APLICACIÓN ENCUESTA CLIMA ESCOLAR  + </v>
      </c>
      <c r="F247" s="91" t="str">
        <f>Table3345[[#This Row],[EVENTO 1 MYP]]&amp;" + "&amp;Table3345[[#This Row],[EVENTO 2 MYP]]</f>
        <v xml:space="preserve">SEGUNDA APLICACIÓN ENCUESTA CLIMA ESCOLAR  + </v>
      </c>
      <c r="G247" s="91" t="str">
        <f>Table33456[[#This Row],[EVENTO 1 DP]]&amp;" + "&amp;Table33456[[#This Row],[EVENTO 2 DP]]</f>
        <v xml:space="preserve">Exámenes Mocks 11DP + </v>
      </c>
      <c r="H247" s="91"/>
      <c r="I247" s="92"/>
      <c r="J247" s="92"/>
      <c r="K247" s="21"/>
      <c r="L247" s="27">
        <f>1+SUM(L238:L244)</f>
        <v>27</v>
      </c>
      <c r="M247" s="5"/>
      <c r="N247" s="5"/>
      <c r="O247" s="29"/>
      <c r="P247" s="29"/>
      <c r="Q247" s="29"/>
      <c r="V247" s="1"/>
    </row>
    <row r="248" spans="1:22" ht="32" x14ac:dyDescent="0.2">
      <c r="A248" s="7">
        <v>46084</v>
      </c>
      <c r="B248" s="33">
        <v>3</v>
      </c>
      <c r="C248" s="6"/>
      <c r="D248" s="91" t="str">
        <f>Table33[[#This Row],[EVENTO 1 PRESC.]]&amp;" + "&amp;Table33[[#This Row],[EVENTO 2 PRESC.]]</f>
        <v xml:space="preserve">SEGUNDA APLICACIÓN ENCUESTA CLIMA ESCOLAR  + </v>
      </c>
      <c r="E248" s="91" t="str">
        <f>Table334[[#This Row],[EVENTO 1 PYP]]&amp;" + "&amp;Table334[[#This Row],[EVENTO 2 PYP]]</f>
        <v xml:space="preserve">SEGUNDA APLICACIÓN ENCUESTA CLIMA ESCOLAR  + </v>
      </c>
      <c r="F248" s="91" t="str">
        <f>Table3345[[#This Row],[EVENTO 1 MYP]]&amp;" + "&amp;Table3345[[#This Row],[EVENTO 2 MYP]]</f>
        <v xml:space="preserve">SEGUNDA APLICACIÓN ENCUESTA CLIMA ESCOLAR  + </v>
      </c>
      <c r="G248" s="91" t="str">
        <f>Table33456[[#This Row],[EVENTO 1 DP]]&amp;" + "&amp;Table33456[[#This Row],[EVENTO 2 DP]]</f>
        <v xml:space="preserve">Exámenes Mocks 11DP + </v>
      </c>
      <c r="H248" s="91"/>
      <c r="I248" s="92" t="s">
        <v>60</v>
      </c>
      <c r="J248" s="92"/>
      <c r="K248" s="21"/>
      <c r="L248" s="27"/>
      <c r="M248" s="5"/>
      <c r="N248" s="5"/>
      <c r="O248" s="29"/>
      <c r="P248" s="29"/>
      <c r="Q248" s="29"/>
      <c r="V248" s="1"/>
    </row>
    <row r="249" spans="1:22" ht="32" x14ac:dyDescent="0.2">
      <c r="A249" s="7">
        <v>46085</v>
      </c>
      <c r="B249" s="33">
        <v>4</v>
      </c>
      <c r="C249" s="6"/>
      <c r="D249" s="91" t="str">
        <f>Table33[[#This Row],[EVENTO 1 PRESC.]]&amp;" + "&amp;Table33[[#This Row],[EVENTO 2 PRESC.]]</f>
        <v xml:space="preserve">SEGUNDA APLICACIÓN ENCUESTA CLIMA ESCOLAR  + </v>
      </c>
      <c r="E249" s="91" t="str">
        <f>Table334[[#This Row],[EVENTO 1 PYP]]&amp;" + "&amp;Table334[[#This Row],[EVENTO 2 PYP]]</f>
        <v xml:space="preserve">SEGUNDA APLICACIÓN ENCUESTA CLIMA ESCOLAR  + </v>
      </c>
      <c r="F249" s="91" t="str">
        <f>Table3345[[#This Row],[EVENTO 1 MYP]]&amp;" + "&amp;Table3345[[#This Row],[EVENTO 2 MYP]]</f>
        <v xml:space="preserve">SEGUNDA APLICACIÓN ENCUESTA CLIMA ESCOLAR  + </v>
      </c>
      <c r="G249" s="91" t="str">
        <f>Table33456[[#This Row],[EVENTO 1 DP]]&amp;" + "&amp;Table33456[[#This Row],[EVENTO 2 DP]]</f>
        <v xml:space="preserve">Exámenes Mocks 11DP + </v>
      </c>
      <c r="H249" s="91"/>
      <c r="I249" s="92" t="s">
        <v>98</v>
      </c>
      <c r="J249" s="92"/>
      <c r="K249" s="21"/>
      <c r="L249" s="27"/>
      <c r="M249" s="5"/>
      <c r="N249" s="5"/>
      <c r="O249" s="29"/>
      <c r="P249" s="29"/>
      <c r="Q249" s="29"/>
      <c r="V249" s="1"/>
    </row>
    <row r="250" spans="1:22" ht="32" x14ac:dyDescent="0.2">
      <c r="A250" s="7">
        <v>46086</v>
      </c>
      <c r="B250" s="33">
        <v>5</v>
      </c>
      <c r="C250" s="6"/>
      <c r="D250" s="91" t="str">
        <f>Table33[[#This Row],[EVENTO 1 PRESC.]]&amp;" + "&amp;Table33[[#This Row],[EVENTO 2 PRESC.]]</f>
        <v xml:space="preserve">SEGUNDA APLICACIÓN ENCUESTA CLIMA ESCOLAR  + </v>
      </c>
      <c r="E250" s="91" t="str">
        <f>Table334[[#This Row],[EVENTO 1 PYP]]&amp;" + "&amp;Table334[[#This Row],[EVENTO 2 PYP]]</f>
        <v xml:space="preserve">SEGUNDA APLICACIÓN ENCUESTA CLIMA ESCOLAR  + </v>
      </c>
      <c r="F250" s="91" t="str">
        <f>Table3345[[#This Row],[EVENTO 1 MYP]]&amp;" + "&amp;Table3345[[#This Row],[EVENTO 2 MYP]]</f>
        <v xml:space="preserve">SEGUNDA APLICACIÓN ENCUESTA CLIMA ESCOLAR  + </v>
      </c>
      <c r="G250" s="91" t="str">
        <f>Table33456[[#This Row],[EVENTO 1 DP]]&amp;" + "&amp;Table33456[[#This Row],[EVENTO 2 DP]]</f>
        <v xml:space="preserve">Exámenes Mocks 11DP + </v>
      </c>
      <c r="H250" s="91"/>
      <c r="I250" s="92" t="s">
        <v>98</v>
      </c>
      <c r="J250" s="92"/>
      <c r="K250" s="21"/>
      <c r="L250" s="27"/>
      <c r="M250" s="5"/>
      <c r="N250" s="5"/>
      <c r="O250" s="29"/>
      <c r="P250" s="29"/>
      <c r="Q250" s="29"/>
      <c r="V250" s="1"/>
    </row>
    <row r="251" spans="1:22" ht="32" x14ac:dyDescent="0.2">
      <c r="A251" s="7">
        <v>46087</v>
      </c>
      <c r="B251" s="33">
        <v>6</v>
      </c>
      <c r="C251" s="6"/>
      <c r="D251" s="91" t="str">
        <f>Table33[[#This Row],[EVENTO 1 PRESC.]]&amp;" + "&amp;Table33[[#This Row],[EVENTO 2 PRESC.]]</f>
        <v xml:space="preserve">Nature's Field Trip - Cerro La Conejera TR + </v>
      </c>
      <c r="E251" s="91" t="str">
        <f>Table334[[#This Row],[EVENTO 1 PYP]]&amp;" + "&amp;Table334[[#This Row],[EVENTO 2 PYP]]</f>
        <v xml:space="preserve"> + </v>
      </c>
      <c r="F251" s="91" t="str">
        <f>Table3345[[#This Row],[EVENTO 1 MYP]]&amp;" + "&amp;Table3345[[#This Row],[EVENTO 2 MYP]]</f>
        <v xml:space="preserve">DELF SEXTO Y OCTAVO + </v>
      </c>
      <c r="G251" s="91" t="str">
        <f>Table33456[[#This Row],[EVENTO 1 DP]]&amp;" + "&amp;Table33456[[#This Row],[EVENTO 2 DP]]</f>
        <v xml:space="preserve">Exámenes Mocks 11DP + </v>
      </c>
      <c r="H251" s="91"/>
      <c r="I251" s="92" t="s">
        <v>98</v>
      </c>
      <c r="J251" s="92"/>
      <c r="K251" s="21">
        <v>19</v>
      </c>
      <c r="L251" s="27"/>
      <c r="M251" s="5"/>
      <c r="N251" s="5"/>
      <c r="O251" s="29"/>
      <c r="P251" s="29"/>
      <c r="Q251" s="29"/>
      <c r="V251" s="1"/>
    </row>
    <row r="252" spans="1:22" ht="24" x14ac:dyDescent="0.2">
      <c r="A252" s="10">
        <v>46088</v>
      </c>
      <c r="B252" s="23" t="s">
        <v>20</v>
      </c>
      <c r="C252" s="9"/>
      <c r="D252" s="85" t="str">
        <f>Table33[[#This Row],[EVENTO 1 PRESC.]]&amp;" + "&amp;Table33[[#This Row],[EVENTO 2 PRESC.]]</f>
        <v xml:space="preserve"> + </v>
      </c>
      <c r="E252" s="85" t="str">
        <f>Table334[[#This Row],[EVENTO 1 PYP]]&amp;" + "&amp;Table334[[#This Row],[EVENTO 2 PYP]]</f>
        <v xml:space="preserve"> + </v>
      </c>
      <c r="F252" s="85" t="str">
        <f>Table3345[[#This Row],[EVENTO 1 MYP]]&amp;" + "&amp;Table3345[[#This Row],[EVENTO 2 MYP]]</f>
        <v xml:space="preserve"> + </v>
      </c>
      <c r="G252" s="85" t="str">
        <f>Table33456[[#This Row],[EVENTO 1 DP]]&amp;" + "&amp;Table33456[[#This Row],[EVENTO 2 DP]]</f>
        <v xml:space="preserve"> + </v>
      </c>
      <c r="H252" s="85"/>
      <c r="I252" s="88"/>
      <c r="J252" s="88"/>
      <c r="K252" s="20"/>
      <c r="L252" s="26"/>
      <c r="M252" s="8"/>
      <c r="N252" s="8"/>
      <c r="O252" s="29"/>
      <c r="P252" s="29"/>
      <c r="Q252" s="29"/>
      <c r="V252" s="1"/>
    </row>
    <row r="253" spans="1:22" ht="24" x14ac:dyDescent="0.2">
      <c r="A253" s="10">
        <v>46089</v>
      </c>
      <c r="B253" s="23" t="s">
        <v>20</v>
      </c>
      <c r="C253" s="9" t="s">
        <v>99</v>
      </c>
      <c r="D253" s="85" t="str">
        <f>Table33[[#This Row],[EVENTO 1 PRESC.]]&amp;" + "&amp;Table33[[#This Row],[EVENTO 2 PRESC.]]</f>
        <v xml:space="preserve"> + </v>
      </c>
      <c r="E253" s="85" t="str">
        <f>Table334[[#This Row],[EVENTO 1 PYP]]&amp;" + "&amp;Table334[[#This Row],[EVENTO 2 PYP]]</f>
        <v xml:space="preserve"> + </v>
      </c>
      <c r="F253" s="85" t="str">
        <f>Table3345[[#This Row],[EVENTO 1 MYP]]&amp;" + "&amp;Table3345[[#This Row],[EVENTO 2 MYP]]</f>
        <v xml:space="preserve"> + </v>
      </c>
      <c r="G253" s="85" t="str">
        <f>Table33456[[#This Row],[EVENTO 1 DP]]&amp;" + "&amp;Table33456[[#This Row],[EVENTO 2 DP]]</f>
        <v xml:space="preserve"> + </v>
      </c>
      <c r="H253" s="85"/>
      <c r="I253" s="88"/>
      <c r="J253" s="88"/>
      <c r="K253" s="20"/>
      <c r="L253" s="26"/>
      <c r="M253" s="8"/>
      <c r="N253" s="8"/>
      <c r="O253" s="29"/>
      <c r="P253" s="29"/>
      <c r="Q253" s="29"/>
      <c r="V253" s="1"/>
    </row>
    <row r="254" spans="1:22" ht="24" x14ac:dyDescent="0.2">
      <c r="A254" s="7">
        <v>46090</v>
      </c>
      <c r="B254" s="33">
        <v>1</v>
      </c>
      <c r="C254" s="6"/>
      <c r="D254" s="91" t="str">
        <f>Table33[[#This Row],[EVENTO 1 PRESC.]]&amp;" + "&amp;Table33[[#This Row],[EVENTO 2 PRESC.]]</f>
        <v xml:space="preserve"> + </v>
      </c>
      <c r="E254" s="91" t="str">
        <f>Table334[[#This Row],[EVENTO 1 PYP]]&amp;" + "&amp;Table334[[#This Row],[EVENTO 2 PYP]]</f>
        <v xml:space="preserve"> + </v>
      </c>
      <c r="F254" s="91" t="str">
        <f>Table3345[[#This Row],[EVENTO 1 MYP]]&amp;" + "&amp;Table3345[[#This Row],[EVENTO 2 MYP]]</f>
        <v xml:space="preserve"> + </v>
      </c>
      <c r="G254" s="91" t="str">
        <f>Table33456[[#This Row],[EVENTO 1 DP]]&amp;" + "&amp;Table33456[[#This Row],[EVENTO 2 DP]]</f>
        <v xml:space="preserve"> + </v>
      </c>
      <c r="H254" s="91"/>
      <c r="I254" s="92"/>
      <c r="J254" s="92"/>
      <c r="K254" s="21"/>
      <c r="L254" s="27">
        <f>1+SUM(L245:L251)</f>
        <v>28</v>
      </c>
      <c r="M254" s="5"/>
      <c r="N254" s="5"/>
      <c r="O254" s="29" t="s">
        <v>65</v>
      </c>
      <c r="P254" s="29"/>
      <c r="Q254" s="29"/>
      <c r="V254" s="1"/>
    </row>
    <row r="255" spans="1:22" ht="48" x14ac:dyDescent="0.2">
      <c r="A255" s="7">
        <v>46091</v>
      </c>
      <c r="B255" s="33">
        <v>2</v>
      </c>
      <c r="C255" s="6"/>
      <c r="D255" s="91" t="str">
        <f>Table33[[#This Row],[EVENTO 1 PRESC.]]&amp;" + "&amp;Table33[[#This Row],[EVENTO 2 PRESC.]]</f>
        <v xml:space="preserve"> + </v>
      </c>
      <c r="E255" s="91" t="str">
        <f>Table334[[#This Row],[EVENTO 1 PYP]]&amp;" + "&amp;Table334[[#This Row],[EVENTO 2 PYP]]</f>
        <v xml:space="preserve"> + </v>
      </c>
      <c r="F255" s="91" t="str">
        <f>Table3345[[#This Row],[EVENTO 1 MYP]]&amp;" + "&amp;Table3345[[#This Row],[EVENTO 2 MYP]]</f>
        <v xml:space="preserve"> + </v>
      </c>
      <c r="G255" s="91" t="str">
        <f>Table33456[[#This Row],[EVENTO 1 DP]]&amp;" + "&amp;Table33456[[#This Row],[EVENTO 2 DP]]</f>
        <v xml:space="preserve"> + </v>
      </c>
      <c r="H255" s="91"/>
      <c r="I255" s="92" t="s">
        <v>100</v>
      </c>
      <c r="J255" s="92" t="s">
        <v>101</v>
      </c>
      <c r="K255" s="21"/>
      <c r="L255" s="27"/>
      <c r="M255" s="5"/>
      <c r="N255" s="5"/>
      <c r="O255" s="29"/>
      <c r="P255" s="29"/>
      <c r="Q255" s="29"/>
      <c r="V255" s="1"/>
    </row>
    <row r="256" spans="1:22" ht="32" x14ac:dyDescent="0.2">
      <c r="A256" s="7">
        <v>46092</v>
      </c>
      <c r="B256" s="33">
        <v>3</v>
      </c>
      <c r="C256" s="6"/>
      <c r="D256" s="91" t="str">
        <f>Table33[[#This Row],[EVENTO 1 PRESC.]]&amp;" + "&amp;Table33[[#This Row],[EVENTO 2 PRESC.]]</f>
        <v xml:space="preserve"> + </v>
      </c>
      <c r="E256" s="91" t="str">
        <f>Table334[[#This Row],[EVENTO 1 PYP]]&amp;" + "&amp;Table334[[#This Row],[EVENTO 2 PYP]]</f>
        <v xml:space="preserve">G.04 - EXCURSIÓN VILLA DE LEYVA + </v>
      </c>
      <c r="F256" s="91" t="str">
        <f>Table3345[[#This Row],[EVENTO 1 MYP]]&amp;" + "&amp;Table3345[[#This Row],[EVENTO 2 MYP]]</f>
        <v xml:space="preserve"> + </v>
      </c>
      <c r="G256" s="91" t="str">
        <f>Table33456[[#This Row],[EVENTO 1 DP]]&amp;" + "&amp;Table33456[[#This Row],[EVENTO 2 DP]]</f>
        <v xml:space="preserve">CONVIVENCIA DÉCIMO  + </v>
      </c>
      <c r="H256" s="91"/>
      <c r="I256" s="92"/>
      <c r="J256" s="92" t="s">
        <v>101</v>
      </c>
      <c r="K256" s="21"/>
      <c r="L256" s="27"/>
      <c r="M256" s="5"/>
      <c r="N256" s="5"/>
      <c r="O256" s="29"/>
      <c r="P256" s="29"/>
      <c r="Q256" s="29"/>
      <c r="V256" s="1"/>
    </row>
    <row r="257" spans="1:22" ht="32" x14ac:dyDescent="0.2">
      <c r="A257" s="7">
        <v>46093</v>
      </c>
      <c r="B257" s="33">
        <v>4</v>
      </c>
      <c r="C257" s="6"/>
      <c r="D257" s="91" t="str">
        <f>Table33[[#This Row],[EVENTO 1 PRESC.]]&amp;" + "&amp;Table33[[#This Row],[EVENTO 2 PRESC.]]</f>
        <v xml:space="preserve"> + </v>
      </c>
      <c r="E257" s="91" t="str">
        <f>Table334[[#This Row],[EVENTO 1 PYP]]&amp;" + "&amp;Table334[[#This Row],[EVENTO 2 PYP]]</f>
        <v xml:space="preserve">G.04 - EXCURSIÓN VILLA DE LEYVA + </v>
      </c>
      <c r="F257" s="91" t="str">
        <f>Table3345[[#This Row],[EVENTO 1 MYP]]&amp;" + "&amp;Table3345[[#This Row],[EVENTO 2 MYP]]</f>
        <v xml:space="preserve">OLIMPIADA COLOMBIANA DE CIENCIAS (6,7,8,9) + </v>
      </c>
      <c r="G257" s="91" t="str">
        <f>Table33456[[#This Row],[EVENTO 1 DP]]&amp;" + "&amp;Table33456[[#This Row],[EVENTO 2 DP]]</f>
        <v xml:space="preserve"> + </v>
      </c>
      <c r="H257" s="91"/>
      <c r="I257" s="92"/>
      <c r="J257" s="92" t="s">
        <v>101</v>
      </c>
      <c r="K257" s="21"/>
      <c r="L257" s="27"/>
      <c r="M257" s="5"/>
      <c r="N257" s="5"/>
      <c r="O257" s="29"/>
      <c r="P257" s="29"/>
      <c r="Q257" s="29"/>
      <c r="V257" s="1"/>
    </row>
    <row r="258" spans="1:22" ht="32" x14ac:dyDescent="0.2">
      <c r="A258" s="7">
        <v>46094</v>
      </c>
      <c r="B258" s="33">
        <v>5</v>
      </c>
      <c r="C258" s="6"/>
      <c r="D258" s="91" t="str">
        <f>Table33[[#This Row],[EVENTO 1 PRESC.]]&amp;" + "&amp;Table33[[#This Row],[EVENTO 2 PRESC.]]</f>
        <v xml:space="preserve"> + </v>
      </c>
      <c r="E258" s="91" t="str">
        <f>Table334[[#This Row],[EVENTO 1 PYP]]&amp;" + "&amp;Table334[[#This Row],[EVENTO 2 PYP]]</f>
        <v xml:space="preserve">G.04 - EXCURSIÓN VILLA DE LEYVA + </v>
      </c>
      <c r="F258" s="91" t="str">
        <f>Table3345[[#This Row],[EVENTO 1 MYP]]&amp;" + "&amp;Table3345[[#This Row],[EVENTO 2 MYP]]</f>
        <v xml:space="preserve"> + </v>
      </c>
      <c r="G258" s="91" t="str">
        <f>Table33456[[#This Row],[EVENTO 1 DP]]&amp;" + "&amp;Table33456[[#This Row],[EVENTO 2 DP]]</f>
        <v xml:space="preserve"> + </v>
      </c>
      <c r="H258" s="91"/>
      <c r="I258" s="92"/>
      <c r="J258" s="92" t="s">
        <v>101</v>
      </c>
      <c r="K258" s="21"/>
      <c r="L258" s="27"/>
      <c r="M258" s="5"/>
      <c r="N258" s="5"/>
      <c r="O258" s="29"/>
      <c r="P258" s="29"/>
      <c r="Q258" s="29"/>
      <c r="V258" s="1"/>
    </row>
    <row r="259" spans="1:22" ht="32" x14ac:dyDescent="0.2">
      <c r="A259" s="10">
        <v>46095</v>
      </c>
      <c r="B259" s="23" t="s">
        <v>20</v>
      </c>
      <c r="C259" s="9"/>
      <c r="D259" s="85" t="str">
        <f>Table33[[#This Row],[EVENTO 1 PRESC.]]&amp;" + "&amp;Table33[[#This Row],[EVENTO 2 PRESC.]]</f>
        <v xml:space="preserve"> + </v>
      </c>
      <c r="E259" s="85" t="str">
        <f>Table334[[#This Row],[EVENTO 1 PYP]]&amp;" + "&amp;Table334[[#This Row],[EVENTO 2 PYP]]</f>
        <v xml:space="preserve"> + </v>
      </c>
      <c r="F259" s="85" t="str">
        <f>Table3345[[#This Row],[EVENTO 1 MYP]]&amp;" + "&amp;Table3345[[#This Row],[EVENTO 2 MYP]]</f>
        <v xml:space="preserve"> + </v>
      </c>
      <c r="G259" s="85" t="str">
        <f>Table33456[[#This Row],[EVENTO 1 DP]]&amp;" + "&amp;Table33456[[#This Row],[EVENTO 2 DP]]</f>
        <v xml:space="preserve"> + </v>
      </c>
      <c r="H259" s="85"/>
      <c r="I259" s="88"/>
      <c r="J259" s="88" t="s">
        <v>101</v>
      </c>
      <c r="K259" s="20"/>
      <c r="L259" s="26"/>
      <c r="M259" s="8"/>
      <c r="N259" s="8"/>
      <c r="O259" s="29"/>
      <c r="P259" s="29"/>
      <c r="Q259" s="29"/>
      <c r="V259" s="1"/>
    </row>
    <row r="260" spans="1:22" ht="24" x14ac:dyDescent="0.2">
      <c r="A260" s="10">
        <v>46096</v>
      </c>
      <c r="B260" s="23" t="s">
        <v>20</v>
      </c>
      <c r="C260" s="9"/>
      <c r="D260" s="85" t="str">
        <f>Table33[[#This Row],[EVENTO 1 PRESC.]]&amp;" + "&amp;Table33[[#This Row],[EVENTO 2 PRESC.]]</f>
        <v xml:space="preserve"> + </v>
      </c>
      <c r="E260" s="85" t="str">
        <f>Table334[[#This Row],[EVENTO 1 PYP]]&amp;" + "&amp;Table334[[#This Row],[EVENTO 2 PYP]]</f>
        <v xml:space="preserve"> + </v>
      </c>
      <c r="F260" s="85" t="str">
        <f>Table3345[[#This Row],[EVENTO 1 MYP]]&amp;" + "&amp;Table3345[[#This Row],[EVENTO 2 MYP]]</f>
        <v xml:space="preserve"> + </v>
      </c>
      <c r="G260" s="85" t="str">
        <f>Table33456[[#This Row],[EVENTO 1 DP]]&amp;" + "&amp;Table33456[[#This Row],[EVENTO 2 DP]]</f>
        <v xml:space="preserve"> + </v>
      </c>
      <c r="H260" s="85"/>
      <c r="I260" s="88"/>
      <c r="J260" s="88"/>
      <c r="K260" s="20"/>
      <c r="L260" s="26"/>
      <c r="M260" s="8"/>
      <c r="N260" s="8"/>
      <c r="O260" s="29"/>
      <c r="P260" s="29"/>
      <c r="Q260" s="29"/>
      <c r="V260" s="1"/>
    </row>
    <row r="261" spans="1:22" ht="24" x14ac:dyDescent="0.2">
      <c r="A261" s="7">
        <v>46097</v>
      </c>
      <c r="B261" s="33">
        <v>6</v>
      </c>
      <c r="C261" s="6"/>
      <c r="D261" s="91" t="str">
        <f>Table33[[#This Row],[EVENTO 1 PRESC.]]&amp;" + "&amp;Table33[[#This Row],[EVENTO 2 PRESC.]]</f>
        <v xml:space="preserve"> + </v>
      </c>
      <c r="E261" s="91" t="str">
        <f>Table334[[#This Row],[EVENTO 1 PYP]]&amp;" + "&amp;Table334[[#This Row],[EVENTO 2 PYP]]</f>
        <v xml:space="preserve">IIV SEMBRATÓN CIEDI  PYP + </v>
      </c>
      <c r="F261" s="91" t="str">
        <f>Table3345[[#This Row],[EVENTO 1 MYP]]&amp;" + "&amp;Table3345[[#This Row],[EVENTO 2 MYP]]</f>
        <v xml:space="preserve"> + </v>
      </c>
      <c r="G261" s="91" t="str">
        <f>Table33456[[#This Row],[EVENTO 1 DP]]&amp;" + "&amp;Table33456[[#This Row],[EVENTO 2 DP]]</f>
        <v xml:space="preserve"> + </v>
      </c>
      <c r="H261" s="91"/>
      <c r="I261" s="92"/>
      <c r="J261" s="92"/>
      <c r="K261" s="21">
        <v>20</v>
      </c>
      <c r="L261" s="27">
        <f>1+SUM(L252:L258)</f>
        <v>29</v>
      </c>
      <c r="M261" s="5"/>
      <c r="N261" s="5"/>
      <c r="O261" s="29"/>
      <c r="P261" s="29"/>
      <c r="Q261" s="29"/>
      <c r="V261" s="1"/>
    </row>
    <row r="262" spans="1:22" ht="32" x14ac:dyDescent="0.2">
      <c r="A262" s="7">
        <v>46098</v>
      </c>
      <c r="B262" s="33">
        <v>1</v>
      </c>
      <c r="C262" s="6"/>
      <c r="D262" s="91" t="str">
        <f>Table33[[#This Row],[EVENTO 1 PRESC.]]&amp;" + "&amp;Table33[[#This Row],[EVENTO 2 PRESC.]]</f>
        <v xml:space="preserve"> + </v>
      </c>
      <c r="E262" s="91" t="str">
        <f>Table334[[#This Row],[EVENTO 1 PYP]]&amp;" + "&amp;Table334[[#This Row],[EVENTO 2 PYP]]</f>
        <v xml:space="preserve"> + </v>
      </c>
      <c r="F262" s="91" t="str">
        <f>Table3345[[#This Row],[EVENTO 1 MYP]]&amp;" + "&amp;Table3345[[#This Row],[EVENTO 2 MYP]]</f>
        <v xml:space="preserve"> + </v>
      </c>
      <c r="G262" s="91" t="str">
        <f>Table33456[[#This Row],[EVENTO 1 DP]]&amp;" + "&amp;Table33456[[#This Row],[EVENTO 2 DP]]</f>
        <v xml:space="preserve"> + </v>
      </c>
      <c r="H262" s="91"/>
      <c r="I262" s="92" t="s">
        <v>67</v>
      </c>
      <c r="J262" s="92"/>
      <c r="K262" s="21"/>
      <c r="L262" s="27"/>
      <c r="M262" s="5"/>
      <c r="N262" s="5"/>
      <c r="O262" s="29"/>
      <c r="P262" s="29"/>
      <c r="Q262" s="29"/>
      <c r="V262" s="1"/>
    </row>
    <row r="263" spans="1:22" ht="32" x14ac:dyDescent="0.2">
      <c r="A263" s="7">
        <v>46099</v>
      </c>
      <c r="B263" s="33">
        <v>2</v>
      </c>
      <c r="C263" s="6"/>
      <c r="D263" s="91" t="str">
        <f>Table33[[#This Row],[EVENTO 1 PRESC.]]&amp;" + "&amp;Table33[[#This Row],[EVENTO 2 PRESC.]]</f>
        <v xml:space="preserve"> + </v>
      </c>
      <c r="E263" s="91" t="str">
        <f>Table334[[#This Row],[EVENTO 1 PYP]]&amp;" + "&amp;Table334[[#This Row],[EVENTO 2 PYP]]</f>
        <v xml:space="preserve"> + </v>
      </c>
      <c r="F263" s="91" t="str">
        <f>Table3345[[#This Row],[EVENTO 1 MYP]]&amp;" + "&amp;Table3345[[#This Row],[EVENTO 2 MYP]]</f>
        <v xml:space="preserve"> + OLIMPIADA COLOMBIANA DE LINGUISTICA (9,10,11)</v>
      </c>
      <c r="G263" s="91" t="str">
        <f>Table33456[[#This Row],[EVENTO 1 DP]]&amp;" + "&amp;Table33456[[#This Row],[EVENTO 2 DP]]</f>
        <v xml:space="preserve"> + </v>
      </c>
      <c r="H263" s="91"/>
      <c r="I263" s="92"/>
      <c r="J263" s="92"/>
      <c r="K263" s="21"/>
      <c r="L263" s="27"/>
      <c r="M263" s="5"/>
      <c r="N263" s="5"/>
      <c r="O263" s="29"/>
      <c r="P263" s="29"/>
      <c r="Q263" s="29"/>
      <c r="V263" s="1"/>
    </row>
    <row r="264" spans="1:22" ht="24" x14ac:dyDescent="0.2">
      <c r="A264" s="7">
        <v>46100</v>
      </c>
      <c r="B264" s="33">
        <v>3</v>
      </c>
      <c r="C264" s="6"/>
      <c r="D264" s="91" t="str">
        <f>Table33[[#This Row],[EVENTO 1 PRESC.]]&amp;" + "&amp;Table33[[#This Row],[EVENTO 2 PRESC.]]</f>
        <v xml:space="preserve"> + </v>
      </c>
      <c r="E264" s="91" t="str">
        <f>Table334[[#This Row],[EVENTO 1 PYP]]&amp;" + "&amp;Table334[[#This Row],[EVENTO 2 PYP]]</f>
        <v xml:space="preserve"> + </v>
      </c>
      <c r="F264" s="91" t="str">
        <f>Table3345[[#This Row],[EVENTO 1 MYP]]&amp;" + "&amp;Table3345[[#This Row],[EVENTO 2 MYP]]</f>
        <v xml:space="preserve"> + </v>
      </c>
      <c r="G264" s="91" t="str">
        <f>Table33456[[#This Row],[EVENTO 1 DP]]&amp;" + "&amp;Table33456[[#This Row],[EVENTO 2 DP]]</f>
        <v xml:space="preserve">DÍA DEL PROFESIONAL  + </v>
      </c>
      <c r="H264" s="91"/>
      <c r="I264" s="92"/>
      <c r="J264" s="92"/>
      <c r="K264" s="21"/>
      <c r="L264" s="27"/>
      <c r="M264" s="5"/>
      <c r="N264" s="5"/>
      <c r="O264" s="29"/>
      <c r="P264" s="29"/>
      <c r="Q264" s="29"/>
      <c r="V264" s="1"/>
    </row>
    <row r="265" spans="1:22" ht="24" x14ac:dyDescent="0.2">
      <c r="A265" s="7">
        <v>46101</v>
      </c>
      <c r="B265" s="33">
        <v>4</v>
      </c>
      <c r="C265" s="6"/>
      <c r="D265" s="91" t="str">
        <f>Table33[[#This Row],[EVENTO 1 PRESC.]]&amp;" + "&amp;Table33[[#This Row],[EVENTO 2 PRESC.]]</f>
        <v xml:space="preserve"> + </v>
      </c>
      <c r="E265" s="91" t="str">
        <f>Table334[[#This Row],[EVENTO 1 PYP]]&amp;" + "&amp;Table334[[#This Row],[EVENTO 2 PYP]]</f>
        <v xml:space="preserve"> + </v>
      </c>
      <c r="F265" s="91" t="str">
        <f>Table3345[[#This Row],[EVENTO 1 MYP]]&amp;" + "&amp;Table3345[[#This Row],[EVENTO 2 MYP]]</f>
        <v>FRANCOFONIA + E-5 cHALLENGE?</v>
      </c>
      <c r="G265" s="91" t="str">
        <f>Table33456[[#This Row],[EVENTO 1 DP]]&amp;" + "&amp;Table33456[[#This Row],[EVENTO 2 DP]]</f>
        <v xml:space="preserve"> + </v>
      </c>
      <c r="H265" s="91"/>
      <c r="I265" s="92"/>
      <c r="J265" s="92"/>
      <c r="K265" s="21"/>
      <c r="L265" s="27"/>
      <c r="M265" s="5"/>
      <c r="N265" s="5"/>
      <c r="O265" s="29"/>
      <c r="P265" s="29"/>
      <c r="Q265" s="29"/>
      <c r="V265" s="1"/>
    </row>
    <row r="266" spans="1:22" ht="24" x14ac:dyDescent="0.2">
      <c r="A266" s="10">
        <v>46102</v>
      </c>
      <c r="B266" s="23" t="s">
        <v>20</v>
      </c>
      <c r="C266" s="9"/>
      <c r="D266" s="85" t="str">
        <f>Table33[[#This Row],[EVENTO 1 PRESC.]]&amp;" + "&amp;Table33[[#This Row],[EVENTO 2 PRESC.]]</f>
        <v xml:space="preserve"> + </v>
      </c>
      <c r="E266" s="85" t="str">
        <f>Table334[[#This Row],[EVENTO 1 PYP]]&amp;" + "&amp;Table334[[#This Row],[EVENTO 2 PYP]]</f>
        <v xml:space="preserve"> + </v>
      </c>
      <c r="F266" s="85" t="str">
        <f>Table3345[[#This Row],[EVENTO 1 MYP]]&amp;" + "&amp;Table3345[[#This Row],[EVENTO 2 MYP]]</f>
        <v xml:space="preserve"> + </v>
      </c>
      <c r="G266" s="85" t="str">
        <f>Table33456[[#This Row],[EVENTO 1 DP]]&amp;" + "&amp;Table33456[[#This Row],[EVENTO 2 DP]]</f>
        <v xml:space="preserve"> + </v>
      </c>
      <c r="H266" s="85"/>
      <c r="I266" s="88"/>
      <c r="J266" s="88"/>
      <c r="K266" s="20"/>
      <c r="L266" s="26"/>
      <c r="M266" s="8"/>
      <c r="N266" s="8"/>
      <c r="O266" s="29"/>
      <c r="P266" s="29" t="s">
        <v>81</v>
      </c>
      <c r="Q266" s="29"/>
      <c r="V266" s="1"/>
    </row>
    <row r="267" spans="1:22" ht="24" x14ac:dyDescent="0.2">
      <c r="A267" s="10">
        <v>46103</v>
      </c>
      <c r="B267" s="23" t="s">
        <v>20</v>
      </c>
      <c r="C267" s="9"/>
      <c r="D267" s="85" t="str">
        <f>Table33[[#This Row],[EVENTO 1 PRESC.]]&amp;" + "&amp;Table33[[#This Row],[EVENTO 2 PRESC.]]</f>
        <v xml:space="preserve"> + </v>
      </c>
      <c r="E267" s="85" t="str">
        <f>Table334[[#This Row],[EVENTO 1 PYP]]&amp;" + "&amp;Table334[[#This Row],[EVENTO 2 PYP]]</f>
        <v xml:space="preserve"> + </v>
      </c>
      <c r="F267" s="85" t="str">
        <f>Table3345[[#This Row],[EVENTO 1 MYP]]&amp;" + "&amp;Table3345[[#This Row],[EVENTO 2 MYP]]</f>
        <v xml:space="preserve"> + </v>
      </c>
      <c r="G267" s="85" t="str">
        <f>Table33456[[#This Row],[EVENTO 1 DP]]&amp;" + "&amp;Table33456[[#This Row],[EVENTO 2 DP]]</f>
        <v xml:space="preserve"> + </v>
      </c>
      <c r="H267" s="85"/>
      <c r="I267" s="88"/>
      <c r="J267" s="88"/>
      <c r="K267" s="20"/>
      <c r="L267" s="26"/>
      <c r="M267" s="8"/>
      <c r="N267" s="8"/>
      <c r="O267" s="29"/>
      <c r="P267" s="29" t="s">
        <v>81</v>
      </c>
      <c r="Q267" s="29"/>
      <c r="V267" s="1"/>
    </row>
    <row r="268" spans="1:22" ht="24" x14ac:dyDescent="0.2">
      <c r="A268" s="10">
        <v>46104</v>
      </c>
      <c r="B268" s="23" t="s">
        <v>17</v>
      </c>
      <c r="C268" s="9"/>
      <c r="D268" s="85" t="str">
        <f>Table33[[#This Row],[EVENTO 1 PRESC.]]&amp;" + "&amp;Table33[[#This Row],[EVENTO 2 PRESC.]]</f>
        <v xml:space="preserve"> + </v>
      </c>
      <c r="E268" s="85" t="str">
        <f>Table334[[#This Row],[EVENTO 1 PYP]]&amp;" + "&amp;Table334[[#This Row],[EVENTO 2 PYP]]</f>
        <v xml:space="preserve"> + </v>
      </c>
      <c r="F268" s="85" t="str">
        <f>Table3345[[#This Row],[EVENTO 1 MYP]]&amp;" + "&amp;Table3345[[#This Row],[EVENTO 2 MYP]]</f>
        <v xml:space="preserve"> + </v>
      </c>
      <c r="G268" s="85" t="str">
        <f>Table33456[[#This Row],[EVENTO 1 DP]]&amp;" + "&amp;Table33456[[#This Row],[EVENTO 2 DP]]</f>
        <v xml:space="preserve"> + </v>
      </c>
      <c r="H268" s="85"/>
      <c r="I268" s="88"/>
      <c r="J268" s="88"/>
      <c r="K268" s="20"/>
      <c r="L268" s="26"/>
      <c r="M268" s="8"/>
      <c r="N268" s="8"/>
      <c r="O268" s="29"/>
      <c r="P268" s="29" t="s">
        <v>81</v>
      </c>
      <c r="Q268" s="29"/>
      <c r="V268" s="1"/>
    </row>
    <row r="269" spans="1:22" ht="32" x14ac:dyDescent="0.2">
      <c r="A269" s="7">
        <v>46105</v>
      </c>
      <c r="B269" s="33">
        <v>5</v>
      </c>
      <c r="C269" s="6"/>
      <c r="D269" s="91" t="str">
        <f>Table33[[#This Row],[EVENTO 1 PRESC.]]&amp;" + "&amp;Table33[[#This Row],[EVENTO 2 PRESC.]]</f>
        <v xml:space="preserve">IB Learner Profile Assembly (Open-minded &amp; Thinkers) + </v>
      </c>
      <c r="E269" s="91" t="str">
        <f>Table334[[#This Row],[EVENTO 1 PYP]]&amp;" + "&amp;Table334[[#This Row],[EVENTO 2 PYP]]</f>
        <v xml:space="preserve">IB Learner Profile Assembly (Open-minded &amp; Thinkers) + </v>
      </c>
      <c r="F269" s="91" t="str">
        <f>Table3345[[#This Row],[EVENTO 1 MYP]]&amp;" + "&amp;Table3345[[#This Row],[EVENTO 2 MYP]]</f>
        <v xml:space="preserve">OLIMPIADAS COLOMBIANAS DE MATEMÁTICAS + </v>
      </c>
      <c r="G269" s="91" t="str">
        <f>Table33456[[#This Row],[EVENTO 1 DP]]&amp;" + "&amp;Table33456[[#This Row],[EVENTO 2 DP]]</f>
        <v xml:space="preserve"> + </v>
      </c>
      <c r="H269" s="91"/>
      <c r="I269" s="92"/>
      <c r="J269" s="92"/>
      <c r="K269" s="21"/>
      <c r="L269" s="27">
        <f>1+SUM(L260:L266)</f>
        <v>30</v>
      </c>
      <c r="M269" s="5"/>
      <c r="N269" s="5"/>
      <c r="O269" s="29"/>
      <c r="P269" s="29" t="s">
        <v>81</v>
      </c>
      <c r="Q269" s="29"/>
      <c r="V269" s="1"/>
    </row>
    <row r="270" spans="1:22" ht="24" x14ac:dyDescent="0.2">
      <c r="A270" s="7">
        <v>46106</v>
      </c>
      <c r="B270" s="33">
        <v>6</v>
      </c>
      <c r="C270" s="6"/>
      <c r="D270" s="91" t="str">
        <f>Table33[[#This Row],[EVENTO 1 PRESC.]]&amp;" + "&amp;Table33[[#This Row],[EVENTO 2 PRESC.]]</f>
        <v xml:space="preserve"> + </v>
      </c>
      <c r="E270" s="91" t="str">
        <f>Table334[[#This Row],[EVENTO 1 PYP]]&amp;" + "&amp;Table334[[#This Row],[EVENTO 2 PYP]]</f>
        <v xml:space="preserve"> + </v>
      </c>
      <c r="F270" s="91" t="str">
        <f>Table3345[[#This Row],[EVENTO 1 MYP]]&amp;" + "&amp;Table3345[[#This Row],[EVENTO 2 MYP]]</f>
        <v xml:space="preserve">Limite Notas + </v>
      </c>
      <c r="G270" s="91" t="str">
        <f>Table33456[[#This Row],[EVENTO 1 DP]]&amp;" + "&amp;Table33456[[#This Row],[EVENTO 2 DP]]</f>
        <v xml:space="preserve"> + </v>
      </c>
      <c r="H270" s="91"/>
      <c r="I270" s="92"/>
      <c r="J270" s="92"/>
      <c r="K270" s="21">
        <v>21</v>
      </c>
      <c r="L270" s="27"/>
      <c r="M270" s="5"/>
      <c r="N270" s="5"/>
      <c r="O270" s="29"/>
      <c r="P270" s="29" t="s">
        <v>81</v>
      </c>
      <c r="Q270" s="29"/>
      <c r="V270" s="1"/>
    </row>
    <row r="271" spans="1:22" ht="32" x14ac:dyDescent="0.2">
      <c r="A271" s="37">
        <v>46107</v>
      </c>
      <c r="B271" s="44">
        <v>1</v>
      </c>
      <c r="C271" s="39" t="s">
        <v>102</v>
      </c>
      <c r="D271" s="95" t="str">
        <f>Table33[[#This Row],[EVENTO 1 PRESC.]]&amp;" + "&amp;Table33[[#This Row],[EVENTO 2 PRESC.]]</f>
        <v xml:space="preserve"> + </v>
      </c>
      <c r="E271" s="95" t="str">
        <f>Table334[[#This Row],[EVENTO 1 PYP]]&amp;" + "&amp;Table334[[#This Row],[EVENTO 2 PYP]]</f>
        <v xml:space="preserve"> + </v>
      </c>
      <c r="F271" s="95" t="str">
        <f>Table3345[[#This Row],[EVENTO 1 MYP]]&amp;" + "&amp;Table3345[[#This Row],[EVENTO 2 MYP]]</f>
        <v xml:space="preserve"> + </v>
      </c>
      <c r="G271" s="95" t="str">
        <f>Table33456[[#This Row],[EVENTO 1 DP]]&amp;" + "&amp;Table33456[[#This Row],[EVENTO 2 DP]]</f>
        <v xml:space="preserve"> + </v>
      </c>
      <c r="H271" s="95"/>
      <c r="I271" s="96" t="s">
        <v>103</v>
      </c>
      <c r="J271" s="96"/>
      <c r="K271" s="40"/>
      <c r="L271" s="41"/>
      <c r="M271" s="42"/>
      <c r="N271" s="42"/>
      <c r="O271" s="43"/>
      <c r="P271" s="43" t="s">
        <v>81</v>
      </c>
      <c r="Q271" s="43"/>
      <c r="V271" s="1"/>
    </row>
    <row r="272" spans="1:22" ht="24" x14ac:dyDescent="0.2">
      <c r="A272" s="10">
        <v>46108</v>
      </c>
      <c r="B272" s="23" t="s">
        <v>104</v>
      </c>
      <c r="C272" s="9"/>
      <c r="D272" s="85" t="str">
        <f>Table33[[#This Row],[EVENTO 1 PRESC.]]&amp;" + "&amp;Table33[[#This Row],[EVENTO 2 PRESC.]]</f>
        <v xml:space="preserve"> + </v>
      </c>
      <c r="E272" s="85" t="str">
        <f>Table334[[#This Row],[EVENTO 1 PYP]]&amp;" + "&amp;Table334[[#This Row],[EVENTO 2 PYP]]</f>
        <v xml:space="preserve"> + </v>
      </c>
      <c r="F272" s="85" t="str">
        <f>Table3345[[#This Row],[EVENTO 1 MYP]]&amp;" + "&amp;Table3345[[#This Row],[EVENTO 2 MYP]]</f>
        <v xml:space="preserve"> + </v>
      </c>
      <c r="G272" s="85" t="str">
        <f>Table33456[[#This Row],[EVENTO 1 DP]]&amp;" + "&amp;Table33456[[#This Row],[EVENTO 2 DP]]</f>
        <v xml:space="preserve"> + </v>
      </c>
      <c r="H272" s="85"/>
      <c r="I272" s="88"/>
      <c r="J272" s="88"/>
      <c r="K272" s="20"/>
      <c r="L272" s="26"/>
      <c r="M272" s="8"/>
      <c r="N272" s="8"/>
      <c r="O272" s="29"/>
      <c r="P272" s="29" t="s">
        <v>81</v>
      </c>
      <c r="Q272" s="29"/>
      <c r="V272" s="1"/>
    </row>
    <row r="273" spans="1:22" ht="24" x14ac:dyDescent="0.2">
      <c r="A273" s="10">
        <v>46109</v>
      </c>
      <c r="B273" s="23" t="s">
        <v>20</v>
      </c>
      <c r="C273" s="9"/>
      <c r="D273" s="85" t="str">
        <f>Table33[[#This Row],[EVENTO 1 PRESC.]]&amp;" + "&amp;Table33[[#This Row],[EVENTO 2 PRESC.]]</f>
        <v xml:space="preserve"> + </v>
      </c>
      <c r="E273" s="85" t="str">
        <f>Table334[[#This Row],[EVENTO 1 PYP]]&amp;" + "&amp;Table334[[#This Row],[EVENTO 2 PYP]]</f>
        <v xml:space="preserve"> + </v>
      </c>
      <c r="F273" s="85" t="str">
        <f>Table3345[[#This Row],[EVENTO 1 MYP]]&amp;" + "&amp;Table3345[[#This Row],[EVENTO 2 MYP]]</f>
        <v xml:space="preserve"> + </v>
      </c>
      <c r="G273" s="85" t="str">
        <f>Table33456[[#This Row],[EVENTO 1 DP]]&amp;" + "&amp;Table33456[[#This Row],[EVENTO 2 DP]]</f>
        <v xml:space="preserve"> + </v>
      </c>
      <c r="H273" s="85"/>
      <c r="I273" s="88"/>
      <c r="J273" s="88"/>
      <c r="K273" s="20"/>
      <c r="L273" s="26"/>
      <c r="M273" s="8"/>
      <c r="N273" s="8"/>
      <c r="O273" s="29" t="s">
        <v>81</v>
      </c>
      <c r="P273" s="29" t="s">
        <v>81</v>
      </c>
      <c r="Q273" s="29" t="s">
        <v>81</v>
      </c>
      <c r="V273" s="1"/>
    </row>
    <row r="274" spans="1:22" ht="24" x14ac:dyDescent="0.2">
      <c r="A274" s="10">
        <v>46110</v>
      </c>
      <c r="B274" s="23" t="s">
        <v>20</v>
      </c>
      <c r="C274" s="9"/>
      <c r="D274" s="85" t="str">
        <f>Table33[[#This Row],[EVENTO 1 PRESC.]]&amp;" + "&amp;Table33[[#This Row],[EVENTO 2 PRESC.]]</f>
        <v xml:space="preserve"> + </v>
      </c>
      <c r="E274" s="85" t="str">
        <f>Table334[[#This Row],[EVENTO 1 PYP]]&amp;" + "&amp;Table334[[#This Row],[EVENTO 2 PYP]]</f>
        <v xml:space="preserve"> + </v>
      </c>
      <c r="F274" s="85" t="str">
        <f>Table3345[[#This Row],[EVENTO 1 MYP]]&amp;" + "&amp;Table3345[[#This Row],[EVENTO 2 MYP]]</f>
        <v xml:space="preserve"> + </v>
      </c>
      <c r="G274" s="85" t="str">
        <f>Table33456[[#This Row],[EVENTO 1 DP]]&amp;" + "&amp;Table33456[[#This Row],[EVENTO 2 DP]]</f>
        <v xml:space="preserve"> + </v>
      </c>
      <c r="H274" s="85"/>
      <c r="I274" s="88"/>
      <c r="J274" s="88"/>
      <c r="K274" s="20"/>
      <c r="L274" s="26"/>
      <c r="M274" s="8"/>
      <c r="N274" s="8"/>
      <c r="O274" s="29" t="s">
        <v>81</v>
      </c>
      <c r="P274" s="29" t="s">
        <v>81</v>
      </c>
      <c r="Q274" s="29" t="s">
        <v>81</v>
      </c>
      <c r="V274" s="1"/>
    </row>
    <row r="275" spans="1:22" ht="24" x14ac:dyDescent="0.2">
      <c r="A275" s="10">
        <v>46111</v>
      </c>
      <c r="B275" s="23" t="s">
        <v>104</v>
      </c>
      <c r="C275" s="9"/>
      <c r="D275" s="85" t="str">
        <f>Table33[[#This Row],[EVENTO 1 PRESC.]]&amp;" + "&amp;Table33[[#This Row],[EVENTO 2 PRESC.]]</f>
        <v xml:space="preserve"> + </v>
      </c>
      <c r="E275" s="85" t="str">
        <f>Table334[[#This Row],[EVENTO 1 PYP]]&amp;" + "&amp;Table334[[#This Row],[EVENTO 2 PYP]]</f>
        <v xml:space="preserve"> + </v>
      </c>
      <c r="F275" s="85" t="str">
        <f>Table3345[[#This Row],[EVENTO 1 MYP]]&amp;" + "&amp;Table3345[[#This Row],[EVENTO 2 MYP]]</f>
        <v xml:space="preserve"> + </v>
      </c>
      <c r="G275" s="85" t="str">
        <f>Table33456[[#This Row],[EVENTO 1 DP]]&amp;" + "&amp;Table33456[[#This Row],[EVENTO 2 DP]]</f>
        <v xml:space="preserve"> + </v>
      </c>
      <c r="H275" s="85"/>
      <c r="I275" s="88"/>
      <c r="J275" s="88"/>
      <c r="K275" s="20"/>
      <c r="L275" s="26"/>
      <c r="M275" s="8"/>
      <c r="N275" s="8"/>
      <c r="O275" s="29" t="s">
        <v>81</v>
      </c>
      <c r="P275" s="29" t="s">
        <v>81</v>
      </c>
      <c r="Q275" s="29" t="s">
        <v>81</v>
      </c>
      <c r="V275" s="1"/>
    </row>
    <row r="276" spans="1:22" ht="24" x14ac:dyDescent="0.2">
      <c r="A276" s="10">
        <v>46112</v>
      </c>
      <c r="B276" s="23" t="s">
        <v>104</v>
      </c>
      <c r="C276" s="9"/>
      <c r="D276" s="85" t="str">
        <f>Table33[[#This Row],[EVENTO 1 PRESC.]]&amp;" + "&amp;Table33[[#This Row],[EVENTO 2 PRESC.]]</f>
        <v xml:space="preserve"> + </v>
      </c>
      <c r="E276" s="85" t="str">
        <f>Table334[[#This Row],[EVENTO 1 PYP]]&amp;" + "&amp;Table334[[#This Row],[EVENTO 2 PYP]]</f>
        <v xml:space="preserve"> + </v>
      </c>
      <c r="F276" s="85" t="str">
        <f>Table3345[[#This Row],[EVENTO 1 MYP]]&amp;" + "&amp;Table3345[[#This Row],[EVENTO 2 MYP]]</f>
        <v xml:space="preserve"> + </v>
      </c>
      <c r="G276" s="85" t="str">
        <f>Table33456[[#This Row],[EVENTO 1 DP]]&amp;" + "&amp;Table33456[[#This Row],[EVENTO 2 DP]]</f>
        <v xml:space="preserve"> + </v>
      </c>
      <c r="H276" s="85"/>
      <c r="I276" s="88"/>
      <c r="J276" s="88"/>
      <c r="K276" s="20"/>
      <c r="L276" s="26"/>
      <c r="M276" s="8"/>
      <c r="N276" s="8"/>
      <c r="O276" s="29" t="s">
        <v>81</v>
      </c>
      <c r="P276" s="29" t="s">
        <v>81</v>
      </c>
      <c r="Q276" s="29" t="s">
        <v>81</v>
      </c>
      <c r="V276" s="1"/>
    </row>
    <row r="277" spans="1:22" ht="24" x14ac:dyDescent="0.2">
      <c r="A277" s="10">
        <v>46113</v>
      </c>
      <c r="B277" s="23" t="s">
        <v>104</v>
      </c>
      <c r="C277" s="9"/>
      <c r="D277" s="85" t="str">
        <f>Table33[[#This Row],[EVENTO 1 PRESC.]]&amp;" + "&amp;Table33[[#This Row],[EVENTO 2 PRESC.]]</f>
        <v xml:space="preserve"> + </v>
      </c>
      <c r="E277" s="85" t="str">
        <f>Table334[[#This Row],[EVENTO 1 PYP]]&amp;" + "&amp;Table334[[#This Row],[EVENTO 2 PYP]]</f>
        <v xml:space="preserve"> + </v>
      </c>
      <c r="F277" s="85" t="str">
        <f>Table3345[[#This Row],[EVENTO 1 MYP]]&amp;" + "&amp;Table3345[[#This Row],[EVENTO 2 MYP]]</f>
        <v xml:space="preserve"> + </v>
      </c>
      <c r="G277" s="85" t="str">
        <f>Table33456[[#This Row],[EVENTO 1 DP]]&amp;" + "&amp;Table33456[[#This Row],[EVENTO 2 DP]]</f>
        <v xml:space="preserve"> + </v>
      </c>
      <c r="H277" s="85"/>
      <c r="I277" s="88"/>
      <c r="J277" s="88"/>
      <c r="K277" s="20"/>
      <c r="L277" s="26"/>
      <c r="M277" s="8"/>
      <c r="N277" s="8"/>
      <c r="O277" s="29" t="s">
        <v>81</v>
      </c>
      <c r="P277" s="29" t="s">
        <v>81</v>
      </c>
      <c r="Q277" s="29" t="s">
        <v>81</v>
      </c>
      <c r="V277" s="1"/>
    </row>
    <row r="278" spans="1:22" ht="24" x14ac:dyDescent="0.2">
      <c r="A278" s="10">
        <v>46114</v>
      </c>
      <c r="B278" s="23" t="s">
        <v>17</v>
      </c>
      <c r="C278" s="9"/>
      <c r="D278" s="85" t="str">
        <f>Table33[[#This Row],[EVENTO 1 PRESC.]]&amp;" + "&amp;Table33[[#This Row],[EVENTO 2 PRESC.]]</f>
        <v xml:space="preserve"> + </v>
      </c>
      <c r="E278" s="85" t="str">
        <f>Table334[[#This Row],[EVENTO 1 PYP]]&amp;" + "&amp;Table334[[#This Row],[EVENTO 2 PYP]]</f>
        <v xml:space="preserve"> + </v>
      </c>
      <c r="F278" s="85" t="str">
        <f>Table3345[[#This Row],[EVENTO 1 MYP]]&amp;" + "&amp;Table3345[[#This Row],[EVENTO 2 MYP]]</f>
        <v xml:space="preserve"> + </v>
      </c>
      <c r="G278" s="85" t="str">
        <f>Table33456[[#This Row],[EVENTO 1 DP]]&amp;" + "&amp;Table33456[[#This Row],[EVENTO 2 DP]]</f>
        <v xml:space="preserve"> + </v>
      </c>
      <c r="H278" s="85"/>
      <c r="I278" s="88"/>
      <c r="J278" s="88"/>
      <c r="K278" s="20"/>
      <c r="L278" s="26"/>
      <c r="M278" s="8"/>
      <c r="N278" s="8"/>
      <c r="O278" s="29" t="s">
        <v>81</v>
      </c>
      <c r="P278" s="29" t="s">
        <v>81</v>
      </c>
      <c r="Q278" s="29" t="s">
        <v>81</v>
      </c>
      <c r="V278" s="1"/>
    </row>
    <row r="279" spans="1:22" ht="24" x14ac:dyDescent="0.2">
      <c r="A279" s="10">
        <v>46115</v>
      </c>
      <c r="B279" s="23" t="s">
        <v>17</v>
      </c>
      <c r="C279" s="9"/>
      <c r="D279" s="85" t="str">
        <f>Table33[[#This Row],[EVENTO 1 PRESC.]]&amp;" + "&amp;Table33[[#This Row],[EVENTO 2 PRESC.]]</f>
        <v xml:space="preserve"> + </v>
      </c>
      <c r="E279" s="85" t="str">
        <f>Table334[[#This Row],[EVENTO 1 PYP]]&amp;" + "&amp;Table334[[#This Row],[EVENTO 2 PYP]]</f>
        <v xml:space="preserve"> + </v>
      </c>
      <c r="F279" s="85" t="str">
        <f>Table3345[[#This Row],[EVENTO 1 MYP]]&amp;" + "&amp;Table3345[[#This Row],[EVENTO 2 MYP]]</f>
        <v xml:space="preserve"> + </v>
      </c>
      <c r="G279" s="85" t="str">
        <f>Table33456[[#This Row],[EVENTO 1 DP]]&amp;" + "&amp;Table33456[[#This Row],[EVENTO 2 DP]]</f>
        <v xml:space="preserve"> + </v>
      </c>
      <c r="H279" s="85"/>
      <c r="I279" s="88"/>
      <c r="J279" s="88"/>
      <c r="K279" s="20"/>
      <c r="L279" s="26"/>
      <c r="M279" s="8"/>
      <c r="N279" s="8"/>
      <c r="O279" s="29" t="s">
        <v>81</v>
      </c>
      <c r="P279" s="29" t="s">
        <v>81</v>
      </c>
      <c r="Q279" s="29" t="s">
        <v>81</v>
      </c>
      <c r="V279" s="1"/>
    </row>
    <row r="280" spans="1:22" ht="24" x14ac:dyDescent="0.2">
      <c r="A280" s="10">
        <v>46116</v>
      </c>
      <c r="B280" s="23" t="s">
        <v>20</v>
      </c>
      <c r="C280" s="9"/>
      <c r="D280" s="85" t="str">
        <f>Table33[[#This Row],[EVENTO 1 PRESC.]]&amp;" + "&amp;Table33[[#This Row],[EVENTO 2 PRESC.]]</f>
        <v xml:space="preserve"> + </v>
      </c>
      <c r="E280" s="85" t="str">
        <f>Table334[[#This Row],[EVENTO 1 PYP]]&amp;" + "&amp;Table334[[#This Row],[EVENTO 2 PYP]]</f>
        <v xml:space="preserve"> + </v>
      </c>
      <c r="F280" s="85" t="str">
        <f>Table3345[[#This Row],[EVENTO 1 MYP]]&amp;" + "&amp;Table3345[[#This Row],[EVENTO 2 MYP]]</f>
        <v xml:space="preserve"> + </v>
      </c>
      <c r="G280" s="85" t="str">
        <f>Table33456[[#This Row],[EVENTO 1 DP]]&amp;" + "&amp;Table33456[[#This Row],[EVENTO 2 DP]]</f>
        <v xml:space="preserve"> + </v>
      </c>
      <c r="H280" s="85"/>
      <c r="I280" s="88"/>
      <c r="J280" s="88"/>
      <c r="K280" s="20"/>
      <c r="L280" s="26"/>
      <c r="M280" s="8"/>
      <c r="N280" s="8"/>
      <c r="O280" s="29" t="s">
        <v>81</v>
      </c>
      <c r="P280" s="29" t="s">
        <v>81</v>
      </c>
      <c r="Q280" s="29" t="s">
        <v>81</v>
      </c>
      <c r="V280" s="1"/>
    </row>
    <row r="281" spans="1:22" ht="24" x14ac:dyDescent="0.2">
      <c r="A281" s="10">
        <v>46117</v>
      </c>
      <c r="B281" s="23" t="s">
        <v>20</v>
      </c>
      <c r="C281" s="9"/>
      <c r="D281" s="85" t="str">
        <f>Table33[[#This Row],[EVENTO 1 PRESC.]]&amp;" + "&amp;Table33[[#This Row],[EVENTO 2 PRESC.]]</f>
        <v xml:space="preserve"> + </v>
      </c>
      <c r="E281" s="85" t="str">
        <f>Table334[[#This Row],[EVENTO 1 PYP]]&amp;" + "&amp;Table334[[#This Row],[EVENTO 2 PYP]]</f>
        <v xml:space="preserve"> + </v>
      </c>
      <c r="F281" s="85" t="str">
        <f>Table3345[[#This Row],[EVENTO 1 MYP]]&amp;" + "&amp;Table3345[[#This Row],[EVENTO 2 MYP]]</f>
        <v xml:space="preserve"> + </v>
      </c>
      <c r="G281" s="85" t="str">
        <f>Table33456[[#This Row],[EVENTO 1 DP]]&amp;" + "&amp;Table33456[[#This Row],[EVENTO 2 DP]]</f>
        <v xml:space="preserve"> + </v>
      </c>
      <c r="H281" s="85"/>
      <c r="I281" s="88"/>
      <c r="J281" s="88"/>
      <c r="K281" s="20"/>
      <c r="L281" s="26"/>
      <c r="M281" s="8"/>
      <c r="N281" s="8"/>
      <c r="O281" s="29" t="s">
        <v>81</v>
      </c>
      <c r="P281" s="29" t="s">
        <v>81</v>
      </c>
      <c r="Q281" s="29" t="s">
        <v>81</v>
      </c>
      <c r="V281" s="1"/>
    </row>
    <row r="282" spans="1:22" ht="24" x14ac:dyDescent="0.2">
      <c r="A282" s="10">
        <v>46118</v>
      </c>
      <c r="B282" s="23" t="s">
        <v>104</v>
      </c>
      <c r="C282" s="9"/>
      <c r="D282" s="85" t="str">
        <f>Table33[[#This Row],[EVENTO 1 PRESC.]]&amp;" + "&amp;Table33[[#This Row],[EVENTO 2 PRESC.]]</f>
        <v xml:space="preserve"> + </v>
      </c>
      <c r="E282" s="85" t="str">
        <f>Table334[[#This Row],[EVENTO 1 PYP]]&amp;" + "&amp;Table334[[#This Row],[EVENTO 2 PYP]]</f>
        <v xml:space="preserve"> + </v>
      </c>
      <c r="F282" s="85" t="str">
        <f>Table3345[[#This Row],[EVENTO 1 MYP]]&amp;" + "&amp;Table3345[[#This Row],[EVENTO 2 MYP]]</f>
        <v xml:space="preserve"> + </v>
      </c>
      <c r="G282" s="85" t="str">
        <f>Table33456[[#This Row],[EVENTO 1 DP]]&amp;" + "&amp;Table33456[[#This Row],[EVENTO 2 DP]]</f>
        <v xml:space="preserve"> + </v>
      </c>
      <c r="H282" s="85"/>
      <c r="I282" s="88"/>
      <c r="J282" s="88"/>
      <c r="K282" s="20"/>
      <c r="L282" s="26"/>
      <c r="M282" s="8"/>
      <c r="N282" s="8"/>
      <c r="O282" s="29" t="s">
        <v>81</v>
      </c>
      <c r="P282" s="29" t="s">
        <v>87</v>
      </c>
      <c r="Q282" s="29" t="s">
        <v>81</v>
      </c>
      <c r="V282" s="1"/>
    </row>
    <row r="283" spans="1:22" ht="24" x14ac:dyDescent="0.2">
      <c r="A283" s="17">
        <v>46119</v>
      </c>
      <c r="B283" s="25" t="s">
        <v>105</v>
      </c>
      <c r="C283" s="18"/>
      <c r="D283" s="97" t="str">
        <f>Table33[[#This Row],[EVENTO 1 PRESC.]]&amp;" + "&amp;Table33[[#This Row],[EVENTO 2 PRESC.]]</f>
        <v xml:space="preserve"> + </v>
      </c>
      <c r="E283" s="97" t="str">
        <f>Table334[[#This Row],[EVENTO 1 PYP]]&amp;" + "&amp;Table334[[#This Row],[EVENTO 2 PYP]]</f>
        <v xml:space="preserve"> + </v>
      </c>
      <c r="F283" s="97" t="str">
        <f>Table3345[[#This Row],[EVENTO 1 MYP]]&amp;" + "&amp;Table3345[[#This Row],[EVENTO 2 MYP]]</f>
        <v xml:space="preserve"> + </v>
      </c>
      <c r="G283" s="97" t="str">
        <f>Table33456[[#This Row],[EVENTO 1 DP]]&amp;" + "&amp;Table33456[[#This Row],[EVENTO 2 DP]]</f>
        <v xml:space="preserve"> + </v>
      </c>
      <c r="H283" s="97"/>
      <c r="I283" s="98"/>
      <c r="J283" s="98"/>
      <c r="K283" s="22"/>
      <c r="L283" s="28"/>
      <c r="M283" s="19"/>
      <c r="N283" s="19"/>
      <c r="O283" s="32" t="s">
        <v>81</v>
      </c>
      <c r="P283" s="32"/>
      <c r="Q283" s="32"/>
      <c r="V283" s="1"/>
    </row>
    <row r="284" spans="1:22" ht="24" x14ac:dyDescent="0.2">
      <c r="A284" s="7">
        <v>46120</v>
      </c>
      <c r="B284" s="33">
        <v>2</v>
      </c>
      <c r="C284" s="6"/>
      <c r="D284" s="91" t="str">
        <f>Table33[[#This Row],[EVENTO 1 PRESC.]]&amp;" + "&amp;Table33[[#This Row],[EVENTO 2 PRESC.]]</f>
        <v xml:space="preserve"> + </v>
      </c>
      <c r="E284" s="91" t="str">
        <f>Table334[[#This Row],[EVENTO 1 PYP]]&amp;" + "&amp;Table334[[#This Row],[EVENTO 2 PYP]]</f>
        <v xml:space="preserve"> + </v>
      </c>
      <c r="F284" s="91" t="str">
        <f>Table3345[[#This Row],[EVENTO 1 MYP]]&amp;" + "&amp;Table3345[[#This Row],[EVENTO 2 MYP]]</f>
        <v xml:space="preserve"> + </v>
      </c>
      <c r="G284" s="91" t="str">
        <f>Table33456[[#This Row],[EVENTO 1 DP]]&amp;" + "&amp;Table33456[[#This Row],[EVENTO 2 DP]]</f>
        <v xml:space="preserve"> + </v>
      </c>
      <c r="H284" s="91"/>
      <c r="I284" s="92"/>
      <c r="J284" s="92"/>
      <c r="K284" s="21"/>
      <c r="L284" s="27">
        <f>1+SUM(L268:L274)</f>
        <v>31</v>
      </c>
      <c r="M284" s="5"/>
      <c r="N284" s="5"/>
      <c r="O284" s="29" t="s">
        <v>81</v>
      </c>
      <c r="P284" s="29"/>
      <c r="Q284" s="29"/>
      <c r="V284" s="1"/>
    </row>
    <row r="285" spans="1:22" ht="24" x14ac:dyDescent="0.2">
      <c r="A285" s="7">
        <v>46121</v>
      </c>
      <c r="B285" s="33">
        <v>3</v>
      </c>
      <c r="C285" s="6"/>
      <c r="D285" s="91" t="str">
        <f>Table33[[#This Row],[EVENTO 1 PRESC.]]&amp;" + "&amp;Table33[[#This Row],[EVENTO 2 PRESC.]]</f>
        <v xml:space="preserve"> + </v>
      </c>
      <c r="E285" s="91" t="str">
        <f>Table334[[#This Row],[EVENTO 1 PYP]]&amp;" + "&amp;Table334[[#This Row],[EVENTO 2 PYP]]</f>
        <v xml:space="preserve"> + </v>
      </c>
      <c r="F285" s="91" t="str">
        <f>Table3345[[#This Row],[EVENTO 1 MYP]]&amp;" + "&amp;Table3345[[#This Row],[EVENTO 2 MYP]]</f>
        <v xml:space="preserve">Limite comentarios + </v>
      </c>
      <c r="G285" s="91" t="str">
        <f>Table33456[[#This Row],[EVENTO 1 DP]]&amp;" + "&amp;Table33456[[#This Row],[EVENTO 2 DP]]</f>
        <v xml:space="preserve"> + </v>
      </c>
      <c r="H285" s="91"/>
      <c r="I285" s="92"/>
      <c r="J285" s="92"/>
      <c r="K285" s="21"/>
      <c r="L285" s="27"/>
      <c r="M285" s="5"/>
      <c r="N285" s="5"/>
      <c r="O285" s="29" t="s">
        <v>81</v>
      </c>
      <c r="P285" s="29"/>
      <c r="Q285" s="29"/>
      <c r="V285" s="1"/>
    </row>
    <row r="286" spans="1:22" ht="24" x14ac:dyDescent="0.2">
      <c r="A286" s="7">
        <v>46122</v>
      </c>
      <c r="B286" s="33">
        <v>4</v>
      </c>
      <c r="C286" s="6"/>
      <c r="D286" s="91" t="str">
        <f>Table33[[#This Row],[EVENTO 1 PRESC.]]&amp;" + "&amp;Table33[[#This Row],[EVENTO 2 PRESC.]]</f>
        <v xml:space="preserve"> + </v>
      </c>
      <c r="E286" s="91" t="str">
        <f>Table334[[#This Row],[EVENTO 1 PYP]]&amp;" + "&amp;Table334[[#This Row],[EVENTO 2 PYP]]</f>
        <v xml:space="preserve"> + </v>
      </c>
      <c r="F286" s="91" t="str">
        <f>Table3345[[#This Row],[EVENTO 1 MYP]]&amp;" + "&amp;Table3345[[#This Row],[EVENTO 2 MYP]]</f>
        <v xml:space="preserve"> + </v>
      </c>
      <c r="G286" s="91" t="str">
        <f>Table33456[[#This Row],[EVENTO 1 DP]]&amp;" + "&amp;Table33456[[#This Row],[EVENTO 2 DP]]</f>
        <v xml:space="preserve"> + </v>
      </c>
      <c r="H286" s="91"/>
      <c r="I286" s="92"/>
      <c r="J286" s="92"/>
      <c r="K286" s="21"/>
      <c r="L286" s="27"/>
      <c r="M286" s="5"/>
      <c r="N286" s="5"/>
      <c r="O286" s="29" t="s">
        <v>81</v>
      </c>
      <c r="P286" s="29"/>
      <c r="Q286" s="29"/>
      <c r="V286" s="1"/>
    </row>
    <row r="287" spans="1:22" ht="24" x14ac:dyDescent="0.2">
      <c r="A287" s="10">
        <v>46123</v>
      </c>
      <c r="B287" s="23" t="s">
        <v>20</v>
      </c>
      <c r="C287" s="9"/>
      <c r="D287" s="85" t="str">
        <f>Table33[[#This Row],[EVENTO 1 PRESC.]]&amp;" + "&amp;Table33[[#This Row],[EVENTO 2 PRESC.]]</f>
        <v xml:space="preserve"> + </v>
      </c>
      <c r="E287" s="85" t="str">
        <f>Table334[[#This Row],[EVENTO 1 PYP]]&amp;" + "&amp;Table334[[#This Row],[EVENTO 2 PYP]]</f>
        <v xml:space="preserve"> + </v>
      </c>
      <c r="F287" s="85" t="str">
        <f>Table3345[[#This Row],[EVENTO 1 MYP]]&amp;" + "&amp;Table3345[[#This Row],[EVENTO 2 MYP]]</f>
        <v xml:space="preserve"> + </v>
      </c>
      <c r="G287" s="85" t="str">
        <f>Table33456[[#This Row],[EVENTO 1 DP]]&amp;" + "&amp;Table33456[[#This Row],[EVENTO 2 DP]]</f>
        <v xml:space="preserve"> + </v>
      </c>
      <c r="H287" s="85"/>
      <c r="I287" s="88"/>
      <c r="J287" s="88"/>
      <c r="K287" s="20"/>
      <c r="L287" s="26"/>
      <c r="M287" s="8"/>
      <c r="N287" s="8"/>
      <c r="O287" s="29" t="s">
        <v>81</v>
      </c>
      <c r="P287" s="29"/>
      <c r="Q287" s="29"/>
      <c r="V287" s="1"/>
    </row>
    <row r="288" spans="1:22" ht="24" x14ac:dyDescent="0.2">
      <c r="A288" s="10">
        <v>46124</v>
      </c>
      <c r="B288" s="23" t="s">
        <v>20</v>
      </c>
      <c r="C288" s="9"/>
      <c r="D288" s="85" t="str">
        <f>Table33[[#This Row],[EVENTO 1 PRESC.]]&amp;" + "&amp;Table33[[#This Row],[EVENTO 2 PRESC.]]</f>
        <v xml:space="preserve"> + </v>
      </c>
      <c r="E288" s="85" t="str">
        <f>Table334[[#This Row],[EVENTO 1 PYP]]&amp;" + "&amp;Table334[[#This Row],[EVENTO 2 PYP]]</f>
        <v xml:space="preserve"> + </v>
      </c>
      <c r="F288" s="85" t="str">
        <f>Table3345[[#This Row],[EVENTO 1 MYP]]&amp;" + "&amp;Table3345[[#This Row],[EVENTO 2 MYP]]</f>
        <v xml:space="preserve"> + </v>
      </c>
      <c r="G288" s="85" t="str">
        <f>Table33456[[#This Row],[EVENTO 1 DP]]&amp;" + "&amp;Table33456[[#This Row],[EVENTO 2 DP]]</f>
        <v xml:space="preserve"> + </v>
      </c>
      <c r="H288" s="85"/>
      <c r="I288" s="88"/>
      <c r="J288" s="88"/>
      <c r="K288" s="20"/>
      <c r="L288" s="26"/>
      <c r="M288" s="8"/>
      <c r="N288" s="8"/>
      <c r="O288" s="29" t="s">
        <v>81</v>
      </c>
      <c r="P288" s="29"/>
      <c r="Q288" s="29"/>
      <c r="V288" s="1"/>
    </row>
    <row r="289" spans="1:22" ht="24" x14ac:dyDescent="0.2">
      <c r="A289" s="7">
        <v>46125</v>
      </c>
      <c r="B289" s="33">
        <v>5</v>
      </c>
      <c r="C289" s="6"/>
      <c r="D289" s="91" t="str">
        <f>Table33[[#This Row],[EVENTO 1 PRESC.]]&amp;" + "&amp;Table33[[#This Row],[EVENTO 2 PRESC.]]</f>
        <v xml:space="preserve">Grades and Comments on Phidias + </v>
      </c>
      <c r="E289" s="91" t="str">
        <f>Table334[[#This Row],[EVENTO 1 PYP]]&amp;" + "&amp;Table334[[#This Row],[EVENTO 2 PYP]]</f>
        <v xml:space="preserve">Grades and Comments on Phidias + </v>
      </c>
      <c r="F289" s="91" t="str">
        <f>Table3345[[#This Row],[EVENTO 1 MYP]]&amp;" + "&amp;Table3345[[#This Row],[EVENTO 2 MYP]]</f>
        <v xml:space="preserve"> + EXCURSIÓN G.06</v>
      </c>
      <c r="G289" s="91" t="str">
        <f>Table33456[[#This Row],[EVENTO 1 DP]]&amp;" + "&amp;Table33456[[#This Row],[EVENTO 2 DP]]</f>
        <v xml:space="preserve"> + </v>
      </c>
      <c r="H289" s="91"/>
      <c r="I289" s="92"/>
      <c r="J289" s="92"/>
      <c r="K289" s="21"/>
      <c r="L289" s="27">
        <f>1+SUM(L280:L286)</f>
        <v>32</v>
      </c>
      <c r="M289" s="5"/>
      <c r="N289" s="5"/>
      <c r="O289" s="29" t="s">
        <v>65</v>
      </c>
      <c r="P289" s="29"/>
      <c r="Q289" s="29"/>
      <c r="V289" s="1"/>
    </row>
    <row r="290" spans="1:22" ht="24" x14ac:dyDescent="0.2">
      <c r="A290" s="7">
        <v>46126</v>
      </c>
      <c r="B290" s="33">
        <v>6</v>
      </c>
      <c r="C290" s="6"/>
      <c r="D290" s="91" t="str">
        <f>Table33[[#This Row],[EVENTO 1 PRESC.]]&amp;" + "&amp;Table33[[#This Row],[EVENTO 2 PRESC.]]</f>
        <v xml:space="preserve"> + </v>
      </c>
      <c r="E290" s="91" t="str">
        <f>Table334[[#This Row],[EVENTO 1 PYP]]&amp;" + "&amp;Table334[[#This Row],[EVENTO 2 PYP]]</f>
        <v xml:space="preserve"> + </v>
      </c>
      <c r="F290" s="91" t="str">
        <f>Table3345[[#This Row],[EVENTO 1 MYP]]&amp;" + "&amp;Table3345[[#This Row],[EVENTO 2 MYP]]</f>
        <v xml:space="preserve"> + EXCURSIÓN G.06</v>
      </c>
      <c r="G290" s="91" t="str">
        <f>Table33456[[#This Row],[EVENTO 1 DP]]&amp;" + "&amp;Table33456[[#This Row],[EVENTO 2 DP]]</f>
        <v xml:space="preserve"> + </v>
      </c>
      <c r="H290" s="91"/>
      <c r="I290" s="92"/>
      <c r="J290" s="92"/>
      <c r="K290" s="21">
        <v>22</v>
      </c>
      <c r="L290" s="27"/>
      <c r="M290" s="5"/>
      <c r="N290" s="5"/>
      <c r="O290" s="29" t="s">
        <v>88</v>
      </c>
      <c r="P290" s="29"/>
      <c r="Q290" s="29"/>
      <c r="V290" s="1"/>
    </row>
    <row r="291" spans="1:22" ht="32" x14ac:dyDescent="0.2">
      <c r="A291" s="7">
        <v>46127</v>
      </c>
      <c r="B291" s="33">
        <v>1</v>
      </c>
      <c r="C291" s="6"/>
      <c r="D291" s="91" t="str">
        <f>Table33[[#This Row],[EVENTO 1 PRESC.]]&amp;" + "&amp;Table33[[#This Row],[EVENTO 2 PRESC.]]</f>
        <v xml:space="preserve"> + </v>
      </c>
      <c r="E291" s="91" t="str">
        <f>Table334[[#This Row],[EVENTO 1 PYP]]&amp;" + "&amp;Table334[[#This Row],[EVENTO 2 PYP]]</f>
        <v xml:space="preserve"> + </v>
      </c>
      <c r="F291" s="91" t="str">
        <f>Table3345[[#This Row],[EVENTO 1 MYP]]&amp;" + "&amp;Table3345[[#This Row],[EVENTO 2 MYP]]</f>
        <v>Preparación entrega tripartita + EXCURSIÓN G.06</v>
      </c>
      <c r="G291" s="91" t="str">
        <f>Table33456[[#This Row],[EVENTO 1 DP]]&amp;" + "&amp;Table33456[[#This Row],[EVENTO 2 DP]]</f>
        <v xml:space="preserve"> + </v>
      </c>
      <c r="H291" s="91"/>
      <c r="I291" s="92"/>
      <c r="J291" s="92"/>
      <c r="K291" s="21"/>
      <c r="L291" s="27"/>
      <c r="M291" s="5"/>
      <c r="N291" s="5"/>
      <c r="O291" s="29"/>
      <c r="P291" s="29"/>
      <c r="Q291" s="29"/>
      <c r="V291" s="1"/>
    </row>
    <row r="292" spans="1:22" ht="24" x14ac:dyDescent="0.2">
      <c r="A292" s="7">
        <v>46128</v>
      </c>
      <c r="B292" s="33">
        <v>2</v>
      </c>
      <c r="C292" s="6"/>
      <c r="D292" s="91" t="str">
        <f>Table33[[#This Row],[EVENTO 1 PRESC.]]&amp;" + "&amp;Table33[[#This Row],[EVENTO 2 PRESC.]]</f>
        <v xml:space="preserve"> + </v>
      </c>
      <c r="E292" s="91" t="str">
        <f>Table334[[#This Row],[EVENTO 1 PYP]]&amp;" + "&amp;Table334[[#This Row],[EVENTO 2 PYP]]</f>
        <v xml:space="preserve"> + </v>
      </c>
      <c r="F292" s="91" t="str">
        <f>Table3345[[#This Row],[EVENTO 1 MYP]]&amp;" + "&amp;Table3345[[#This Row],[EVENTO 2 MYP]]</f>
        <v xml:space="preserve"> + EXCURSIÓN G.06</v>
      </c>
      <c r="G292" s="91" t="str">
        <f>Table33456[[#This Row],[EVENTO 1 DP]]&amp;" + "&amp;Table33456[[#This Row],[EVENTO 2 DP]]</f>
        <v xml:space="preserve"> + </v>
      </c>
      <c r="H292" s="91"/>
      <c r="I292" s="92"/>
      <c r="J292" s="92"/>
      <c r="K292" s="21"/>
      <c r="L292" s="27"/>
      <c r="M292" s="5"/>
      <c r="N292" s="5"/>
      <c r="O292" s="29"/>
      <c r="P292" s="29"/>
      <c r="Q292" s="29"/>
      <c r="V292" s="1"/>
    </row>
    <row r="293" spans="1:22" ht="24" x14ac:dyDescent="0.2">
      <c r="A293" s="46">
        <v>46129</v>
      </c>
      <c r="B293" s="47" t="s">
        <v>51</v>
      </c>
      <c r="C293" s="45" t="s">
        <v>106</v>
      </c>
      <c r="D293" s="99" t="str">
        <f>Table33[[#This Row],[EVENTO 1 PRESC.]]&amp;" + "&amp;Table33[[#This Row],[EVENTO 2 PRESC.]]</f>
        <v xml:space="preserve">ENTREGA DE NOTAS + </v>
      </c>
      <c r="E293" s="99" t="str">
        <f>Table334[[#This Row],[EVENTO 1 PYP]]&amp;" + "&amp;Table334[[#This Row],[EVENTO 2 PYP]]</f>
        <v xml:space="preserve">ENTREGA DE NOTAS + </v>
      </c>
      <c r="F293" s="99" t="str">
        <f>Table3345[[#This Row],[EVENTO 1 MYP]]&amp;" + "&amp;Table3345[[#This Row],[EVENTO 2 MYP]]</f>
        <v xml:space="preserve"> + </v>
      </c>
      <c r="G293" s="99" t="str">
        <f>Table33456[[#This Row],[EVENTO 1 DP]]&amp;" + "&amp;Table33456[[#This Row],[EVENTO 2 DP]]</f>
        <v xml:space="preserve"> + </v>
      </c>
      <c r="H293" s="99"/>
      <c r="I293" s="100"/>
      <c r="J293" s="100"/>
      <c r="K293" s="48"/>
      <c r="L293" s="49"/>
      <c r="M293" s="50"/>
      <c r="N293" s="50"/>
      <c r="O293" s="51"/>
      <c r="P293" s="51"/>
      <c r="Q293" s="51"/>
      <c r="V293" s="1"/>
    </row>
    <row r="294" spans="1:22" ht="24" x14ac:dyDescent="0.2">
      <c r="A294" s="10">
        <v>46130</v>
      </c>
      <c r="B294" s="23" t="s">
        <v>20</v>
      </c>
      <c r="C294" s="9"/>
      <c r="D294" s="85" t="str">
        <f>Table33[[#This Row],[EVENTO 1 PRESC.]]&amp;" + "&amp;Table33[[#This Row],[EVENTO 2 PRESC.]]</f>
        <v xml:space="preserve"> + </v>
      </c>
      <c r="E294" s="85" t="str">
        <f>Table334[[#This Row],[EVENTO 1 PYP]]&amp;" + "&amp;Table334[[#This Row],[EVENTO 2 PYP]]</f>
        <v xml:space="preserve"> + </v>
      </c>
      <c r="F294" s="85" t="str">
        <f>Table3345[[#This Row],[EVENTO 1 MYP]]&amp;" + "&amp;Table3345[[#This Row],[EVENTO 2 MYP]]</f>
        <v xml:space="preserve"> + </v>
      </c>
      <c r="G294" s="85" t="str">
        <f>Table33456[[#This Row],[EVENTO 1 DP]]&amp;" + "&amp;Table33456[[#This Row],[EVENTO 2 DP]]</f>
        <v xml:space="preserve"> + </v>
      </c>
      <c r="H294" s="85"/>
      <c r="I294" s="88"/>
      <c r="J294" s="88"/>
      <c r="K294" s="20"/>
      <c r="L294" s="26"/>
      <c r="M294" s="8"/>
      <c r="N294" s="8"/>
      <c r="O294" s="29"/>
      <c r="P294" s="29"/>
      <c r="Q294" s="29"/>
      <c r="V294" s="1"/>
    </row>
    <row r="295" spans="1:22" ht="24" x14ac:dyDescent="0.2">
      <c r="A295" s="10">
        <v>46131</v>
      </c>
      <c r="B295" s="23" t="s">
        <v>20</v>
      </c>
      <c r="C295" s="9"/>
      <c r="D295" s="85" t="str">
        <f>Table33[[#This Row],[EVENTO 1 PRESC.]]&amp;" + "&amp;Table33[[#This Row],[EVENTO 2 PRESC.]]</f>
        <v xml:space="preserve"> + </v>
      </c>
      <c r="E295" s="85" t="str">
        <f>Table334[[#This Row],[EVENTO 1 PYP]]&amp;" + "&amp;Table334[[#This Row],[EVENTO 2 PYP]]</f>
        <v xml:space="preserve"> + </v>
      </c>
      <c r="F295" s="85" t="str">
        <f>Table3345[[#This Row],[EVENTO 1 MYP]]&amp;" + "&amp;Table3345[[#This Row],[EVENTO 2 MYP]]</f>
        <v xml:space="preserve"> + </v>
      </c>
      <c r="G295" s="85" t="str">
        <f>Table33456[[#This Row],[EVENTO 1 DP]]&amp;" + "&amp;Table33456[[#This Row],[EVENTO 2 DP]]</f>
        <v xml:space="preserve"> + </v>
      </c>
      <c r="H295" s="85"/>
      <c r="I295" s="88"/>
      <c r="J295" s="88"/>
      <c r="K295" s="20"/>
      <c r="L295" s="26"/>
      <c r="M295" s="8"/>
      <c r="N295" s="8"/>
      <c r="O295" s="29"/>
      <c r="P295" s="29"/>
      <c r="Q295" s="29"/>
      <c r="V295" s="1"/>
    </row>
    <row r="296" spans="1:22" ht="24" x14ac:dyDescent="0.2">
      <c r="A296" s="7">
        <v>46132</v>
      </c>
      <c r="B296" s="33">
        <v>3</v>
      </c>
      <c r="C296" s="6"/>
      <c r="D296" s="91" t="str">
        <f>Table33[[#This Row],[EVENTO 1 PRESC.]]&amp;" + "&amp;Table33[[#This Row],[EVENTO 2 PRESC.]]</f>
        <v xml:space="preserve">Entregas Especiales III Bim + </v>
      </c>
      <c r="E296" s="91" t="str">
        <f>Table334[[#This Row],[EVENTO 1 PYP]]&amp;" + "&amp;Table334[[#This Row],[EVENTO 2 PYP]]</f>
        <v xml:space="preserve">Entregas Especiales III Bim + </v>
      </c>
      <c r="F296" s="91" t="str">
        <f>Table3345[[#This Row],[EVENTO 1 MYP]]&amp;" + "&amp;Table3345[[#This Row],[EVENTO 2 MYP]]</f>
        <v xml:space="preserve"> + </v>
      </c>
      <c r="G296" s="91" t="str">
        <f>Table33456[[#This Row],[EVENTO 1 DP]]&amp;" + "&amp;Table33456[[#This Row],[EVENTO 2 DP]]</f>
        <v xml:space="preserve"> + </v>
      </c>
      <c r="H296" s="91"/>
      <c r="I296" s="92"/>
      <c r="J296" s="92"/>
      <c r="K296" s="21"/>
      <c r="L296" s="27">
        <f>1+SUM(L287:L293)</f>
        <v>33</v>
      </c>
      <c r="M296" s="5"/>
      <c r="N296" s="5"/>
      <c r="O296" s="29"/>
      <c r="P296" s="29"/>
      <c r="Q296" s="29"/>
      <c r="V296" s="1"/>
    </row>
    <row r="297" spans="1:22" ht="24" x14ac:dyDescent="0.2">
      <c r="A297" s="7">
        <v>46133</v>
      </c>
      <c r="B297" s="33">
        <v>4</v>
      </c>
      <c r="C297" s="6"/>
      <c r="D297" s="91" t="str">
        <f>Table33[[#This Row],[EVENTO 1 PRESC.]]&amp;" + "&amp;Table33[[#This Row],[EVENTO 2 PRESC.]]</f>
        <v xml:space="preserve">Entregas Especiales III Bim + </v>
      </c>
      <c r="E297" s="91" t="str">
        <f>Table334[[#This Row],[EVENTO 1 PYP]]&amp;" + "&amp;Table334[[#This Row],[EVENTO 2 PYP]]</f>
        <v xml:space="preserve">Entregas Especiales III Bim + </v>
      </c>
      <c r="F297" s="91" t="str">
        <f>Table3345[[#This Row],[EVENTO 1 MYP]]&amp;" + "&amp;Table3345[[#This Row],[EVENTO 2 MYP]]</f>
        <v xml:space="preserve"> + </v>
      </c>
      <c r="G297" s="91" t="str">
        <f>Table33456[[#This Row],[EVENTO 1 DP]]&amp;" + "&amp;Table33456[[#This Row],[EVENTO 2 DP]]</f>
        <v xml:space="preserve"> + </v>
      </c>
      <c r="H297" s="91"/>
      <c r="I297" s="92"/>
      <c r="J297" s="92"/>
      <c r="K297" s="21"/>
      <c r="L297" s="27"/>
      <c r="M297" s="5"/>
      <c r="N297" s="5"/>
      <c r="O297" s="29"/>
      <c r="P297" s="29"/>
      <c r="Q297" s="29"/>
      <c r="V297" s="1"/>
    </row>
    <row r="298" spans="1:22" ht="24" x14ac:dyDescent="0.2">
      <c r="A298" s="7">
        <v>46134</v>
      </c>
      <c r="B298" s="33">
        <v>5</v>
      </c>
      <c r="C298" s="6"/>
      <c r="D298" s="91" t="str">
        <f>Table33[[#This Row],[EVENTO 1 PRESC.]]&amp;" + "&amp;Table33[[#This Row],[EVENTO 2 PRESC.]]</f>
        <v xml:space="preserve">Entregas Especiales III Bim + </v>
      </c>
      <c r="E298" s="91" t="str">
        <f>Table334[[#This Row],[EVENTO 1 PYP]]&amp;" + "&amp;Table334[[#This Row],[EVENTO 2 PYP]]</f>
        <v xml:space="preserve">Entregas Especiales III Bim + </v>
      </c>
      <c r="F298" s="91" t="str">
        <f>Table3345[[#This Row],[EVENTO 1 MYP]]&amp;" + "&amp;Table3345[[#This Row],[EVENTO 2 MYP]]</f>
        <v xml:space="preserve"> + </v>
      </c>
      <c r="G298" s="91" t="str">
        <f>Table33456[[#This Row],[EVENTO 1 DP]]&amp;" + "&amp;Table33456[[#This Row],[EVENTO 2 DP]]</f>
        <v xml:space="preserve"> + </v>
      </c>
      <c r="H298" s="91"/>
      <c r="I298" s="92"/>
      <c r="J298" s="92"/>
      <c r="K298" s="21"/>
      <c r="L298" s="27"/>
      <c r="M298" s="5"/>
      <c r="N298" s="5"/>
      <c r="O298" s="29"/>
      <c r="P298" s="29"/>
      <c r="Q298" s="29"/>
      <c r="V298" s="1"/>
    </row>
    <row r="299" spans="1:22" ht="48" x14ac:dyDescent="0.2">
      <c r="A299" s="7">
        <v>46135</v>
      </c>
      <c r="B299" s="33">
        <v>6</v>
      </c>
      <c r="C299" s="6"/>
      <c r="D299" s="91" t="str">
        <f>Table33[[#This Row],[EVENTO 1 PRESC.]]&amp;" + "&amp;Table33[[#This Row],[EVENTO 2 PRESC.]]</f>
        <v xml:space="preserve">English and Spanish Day + </v>
      </c>
      <c r="E299" s="91" t="str">
        <f>Table334[[#This Row],[EVENTO 1 PYP]]&amp;" + "&amp;Table334[[#This Row],[EVENTO 2 PYP]]</f>
        <v xml:space="preserve">English and Spanish Day + </v>
      </c>
      <c r="F299" s="91" t="str">
        <f>Table3345[[#This Row],[EVENTO 1 MYP]]&amp;" + "&amp;Table3345[[#This Row],[EVENTO 2 MYP]]</f>
        <v xml:space="preserve">MALTEADA LITERARIA MYP - SPELLING BE-FERIA TOK (ASISTE NOVENO) + </v>
      </c>
      <c r="G299" s="91" t="str">
        <f>Table33456[[#This Row],[EVENTO 1 DP]]&amp;" + "&amp;Table33456[[#This Row],[EVENTO 2 DP]]</f>
        <v xml:space="preserve">Feria de Exposición de Tok 10DP + </v>
      </c>
      <c r="H299" s="91"/>
      <c r="I299" s="92"/>
      <c r="J299" s="92" t="s">
        <v>107</v>
      </c>
      <c r="K299" s="21">
        <v>23</v>
      </c>
      <c r="L299" s="27"/>
      <c r="M299" s="5"/>
      <c r="N299" s="5"/>
      <c r="O299" s="29"/>
      <c r="P299" s="29"/>
      <c r="Q299" s="29"/>
      <c r="V299" s="1"/>
    </row>
    <row r="300" spans="1:22" ht="64" x14ac:dyDescent="0.2">
      <c r="A300" s="7">
        <v>46136</v>
      </c>
      <c r="B300" s="33">
        <v>1</v>
      </c>
      <c r="C300" s="6"/>
      <c r="D300" s="91" t="str">
        <f>Table33[[#This Row],[EVENTO 1 PRESC.]]&amp;" + "&amp;Table33[[#This Row],[EVENTO 2 PRESC.]]</f>
        <v xml:space="preserve"> + </v>
      </c>
      <c r="E300" s="91" t="str">
        <f>Table334[[#This Row],[EVENTO 1 PYP]]&amp;" + "&amp;Table334[[#This Row],[EVENTO 2 PYP]]</f>
        <v xml:space="preserve"> + </v>
      </c>
      <c r="F300" s="91" t="str">
        <f>Table3345[[#This Row],[EVENTO 1 MYP]]&amp;" + "&amp;Table3345[[#This Row],[EVENTO 2 MYP]]</f>
        <v>FERIA INTERNA DE PROYECTO PERSONAL + OLIMPIADAS COLOMBIANAS DE MATEMÁTICAS PRUEBA SELECTIVA</v>
      </c>
      <c r="G300" s="91" t="str">
        <f>Table33456[[#This Row],[EVENTO 1 DP]]&amp;" + "&amp;Table33456[[#This Row],[EVENTO 2 DP]]</f>
        <v xml:space="preserve"> + </v>
      </c>
      <c r="H300" s="91"/>
      <c r="I300" s="92"/>
      <c r="J300" s="92" t="s">
        <v>107</v>
      </c>
      <c r="K300" s="21"/>
      <c r="L300" s="27"/>
      <c r="M300" s="5"/>
      <c r="N300" s="5"/>
      <c r="O300" s="29"/>
      <c r="P300" s="29"/>
      <c r="Q300" s="29"/>
      <c r="V300" s="1"/>
    </row>
    <row r="301" spans="1:22" ht="32" x14ac:dyDescent="0.2">
      <c r="A301" s="10">
        <v>46137</v>
      </c>
      <c r="B301" s="23" t="s">
        <v>20</v>
      </c>
      <c r="C301" s="9"/>
      <c r="D301" s="85" t="str">
        <f>Table33[[#This Row],[EVENTO 1 PRESC.]]&amp;" + "&amp;Table33[[#This Row],[EVENTO 2 PRESC.]]</f>
        <v xml:space="preserve"> + </v>
      </c>
      <c r="E301" s="85" t="str">
        <f>Table334[[#This Row],[EVENTO 1 PYP]]&amp;" + "&amp;Table334[[#This Row],[EVENTO 2 PYP]]</f>
        <v xml:space="preserve"> + </v>
      </c>
      <c r="F301" s="85" t="str">
        <f>Table3345[[#This Row],[EVENTO 1 MYP]]&amp;" + "&amp;Table3345[[#This Row],[EVENTO 2 MYP]]</f>
        <v xml:space="preserve"> + </v>
      </c>
      <c r="G301" s="85" t="str">
        <f>Table33456[[#This Row],[EVENTO 1 DP]]&amp;" + "&amp;Table33456[[#This Row],[EVENTO 2 DP]]</f>
        <v xml:space="preserve"> + </v>
      </c>
      <c r="H301" s="85"/>
      <c r="I301" s="88"/>
      <c r="J301" s="88" t="s">
        <v>107</v>
      </c>
      <c r="K301" s="20"/>
      <c r="L301" s="26"/>
      <c r="M301" s="8"/>
      <c r="N301" s="8"/>
      <c r="O301" s="29"/>
      <c r="P301" s="29"/>
      <c r="Q301" s="29"/>
      <c r="V301" s="1"/>
    </row>
    <row r="302" spans="1:22" ht="24" x14ac:dyDescent="0.2">
      <c r="A302" s="10">
        <v>46138</v>
      </c>
      <c r="B302" s="23" t="s">
        <v>20</v>
      </c>
      <c r="C302" s="9"/>
      <c r="D302" s="85" t="str">
        <f>Table33[[#This Row],[EVENTO 1 PRESC.]]&amp;" + "&amp;Table33[[#This Row],[EVENTO 2 PRESC.]]</f>
        <v xml:space="preserve"> + </v>
      </c>
      <c r="E302" s="85" t="str">
        <f>Table334[[#This Row],[EVENTO 1 PYP]]&amp;" + "&amp;Table334[[#This Row],[EVENTO 2 PYP]]</f>
        <v xml:space="preserve"> + </v>
      </c>
      <c r="F302" s="85" t="str">
        <f>Table3345[[#This Row],[EVENTO 1 MYP]]&amp;" + "&amp;Table3345[[#This Row],[EVENTO 2 MYP]]</f>
        <v xml:space="preserve"> + EXCURSIÓN G.09</v>
      </c>
      <c r="G302" s="85" t="str">
        <f>Table33456[[#This Row],[EVENTO 1 DP]]&amp;" + "&amp;Table33456[[#This Row],[EVENTO 2 DP]]</f>
        <v xml:space="preserve"> + </v>
      </c>
      <c r="H302" s="85"/>
      <c r="I302" s="88"/>
      <c r="J302" s="88"/>
      <c r="K302" s="20"/>
      <c r="L302" s="26"/>
      <c r="M302" s="8"/>
      <c r="N302" s="8"/>
      <c r="O302" s="29"/>
      <c r="P302" s="29"/>
      <c r="Q302" s="29"/>
      <c r="V302" s="1"/>
    </row>
    <row r="303" spans="1:22" ht="24" x14ac:dyDescent="0.2">
      <c r="A303" s="7">
        <v>46139</v>
      </c>
      <c r="B303" s="33">
        <v>2</v>
      </c>
      <c r="C303" s="6"/>
      <c r="D303" s="91" t="str">
        <f>Table33[[#This Row],[EVENTO 1 PRESC.]]&amp;" + "&amp;Table33[[#This Row],[EVENTO 2 PRESC.]]</f>
        <v xml:space="preserve"> + </v>
      </c>
      <c r="E303" s="91" t="str">
        <f>Table334[[#This Row],[EVENTO 1 PYP]]&amp;" + "&amp;Table334[[#This Row],[EVENTO 2 PYP]]</f>
        <v xml:space="preserve"> + </v>
      </c>
      <c r="F303" s="91" t="str">
        <f>Table3345[[#This Row],[EVENTO 1 MYP]]&amp;" + "&amp;Table3345[[#This Row],[EVENTO 2 MYP]]</f>
        <v xml:space="preserve"> + EXCURSIÓN G.09</v>
      </c>
      <c r="G303" s="91" t="str">
        <f>Table33456[[#This Row],[EVENTO 1 DP]]&amp;" + "&amp;Table33456[[#This Row],[EVENTO 2 DP]]</f>
        <v xml:space="preserve"> + </v>
      </c>
      <c r="H303" s="91"/>
      <c r="I303" s="92"/>
      <c r="J303" s="92"/>
      <c r="K303" s="21"/>
      <c r="L303" s="27">
        <f>1+SUM(L294:L300)</f>
        <v>34</v>
      </c>
      <c r="M303" s="5"/>
      <c r="N303" s="5"/>
      <c r="O303" s="29"/>
      <c r="P303" s="29"/>
      <c r="Q303" s="29"/>
      <c r="V303" s="1"/>
    </row>
    <row r="304" spans="1:22" ht="24" x14ac:dyDescent="0.2">
      <c r="A304" s="7">
        <v>46140</v>
      </c>
      <c r="B304" s="33">
        <v>3</v>
      </c>
      <c r="C304" s="6"/>
      <c r="D304" s="91" t="str">
        <f>Table33[[#This Row],[EVENTO 1 PRESC.]]&amp;" + "&amp;Table33[[#This Row],[EVENTO 2 PRESC.]]</f>
        <v xml:space="preserve"> + </v>
      </c>
      <c r="E304" s="91" t="str">
        <f>Table334[[#This Row],[EVENTO 1 PYP]]&amp;" + "&amp;Table334[[#This Row],[EVENTO 2 PYP]]</f>
        <v xml:space="preserve"> + </v>
      </c>
      <c r="F304" s="91" t="str">
        <f>Table3345[[#This Row],[EVENTO 1 MYP]]&amp;" + "&amp;Table3345[[#This Row],[EVENTO 2 MYP]]</f>
        <v xml:space="preserve"> + EXCURSIÓN G.09</v>
      </c>
      <c r="G304" s="91" t="str">
        <f>Table33456[[#This Row],[EVENTO 1 DP]]&amp;" + "&amp;Table33456[[#This Row],[EVENTO 2 DP]]</f>
        <v xml:space="preserve"> + Exámes Externos IB 11DP</v>
      </c>
      <c r="H304" s="91"/>
      <c r="I304" s="92"/>
      <c r="J304" s="92"/>
      <c r="K304" s="21"/>
      <c r="L304" s="27"/>
      <c r="M304" s="5"/>
      <c r="N304" s="5"/>
      <c r="O304" s="29"/>
      <c r="P304" s="29"/>
      <c r="Q304" s="29"/>
      <c r="V304" s="1"/>
    </row>
    <row r="305" spans="1:22" ht="24" x14ac:dyDescent="0.2">
      <c r="A305" s="7">
        <v>46141</v>
      </c>
      <c r="B305" s="33">
        <v>4</v>
      </c>
      <c r="C305" s="6"/>
      <c r="D305" s="91" t="str">
        <f>Table33[[#This Row],[EVENTO 1 PRESC.]]&amp;" + "&amp;Table33[[#This Row],[EVENTO 2 PRESC.]]</f>
        <v xml:space="preserve"> + </v>
      </c>
      <c r="E305" s="91" t="str">
        <f>Table334[[#This Row],[EVENTO 1 PYP]]&amp;" + "&amp;Table334[[#This Row],[EVENTO 2 PYP]]</f>
        <v xml:space="preserve"> + </v>
      </c>
      <c r="F305" s="91" t="str">
        <f>Table3345[[#This Row],[EVENTO 1 MYP]]&amp;" + "&amp;Table3345[[#This Row],[EVENTO 2 MYP]]</f>
        <v xml:space="preserve"> + EXCURSIÓN G.09</v>
      </c>
      <c r="G305" s="91" t="str">
        <f>Table33456[[#This Row],[EVENTO 1 DP]]&amp;" + "&amp;Table33456[[#This Row],[EVENTO 2 DP]]</f>
        <v xml:space="preserve"> + Exámes Externos IB 11DP</v>
      </c>
      <c r="H305" s="91"/>
      <c r="I305" s="92"/>
      <c r="J305" s="92"/>
      <c r="K305" s="21"/>
      <c r="L305" s="27"/>
      <c r="M305" s="5"/>
      <c r="N305" s="5"/>
      <c r="O305" s="29"/>
      <c r="P305" s="29"/>
      <c r="Q305" s="29"/>
      <c r="V305" s="1"/>
    </row>
    <row r="306" spans="1:22" ht="24" x14ac:dyDescent="0.2">
      <c r="A306" s="7">
        <v>46142</v>
      </c>
      <c r="B306" s="33">
        <v>5</v>
      </c>
      <c r="C306" s="6"/>
      <c r="D306" s="91" t="str">
        <f>Table33[[#This Row],[EVENTO 1 PRESC.]]&amp;" + "&amp;Table33[[#This Row],[EVENTO 2 PRESC.]]</f>
        <v xml:space="preserve"> + </v>
      </c>
      <c r="E306" s="91" t="str">
        <f>Table334[[#This Row],[EVENTO 1 PYP]]&amp;" + "&amp;Table334[[#This Row],[EVENTO 2 PYP]]</f>
        <v xml:space="preserve">PYPX EXHIBITION AMEVEA + </v>
      </c>
      <c r="F306" s="91" t="str">
        <f>Table3345[[#This Row],[EVENTO 1 MYP]]&amp;" + "&amp;Table3345[[#This Row],[EVENTO 2 MYP]]</f>
        <v xml:space="preserve"> + EXCURSIÓN G.09</v>
      </c>
      <c r="G306" s="91" t="str">
        <f>Table33456[[#This Row],[EVENTO 1 DP]]&amp;" + "&amp;Table33456[[#This Row],[EVENTO 2 DP]]</f>
        <v xml:space="preserve"> + Exámes Externos IB 11DP</v>
      </c>
      <c r="H306" s="91"/>
      <c r="I306" s="92"/>
      <c r="J306" s="92"/>
      <c r="K306" s="21"/>
      <c r="L306" s="27"/>
      <c r="M306" s="5"/>
      <c r="N306" s="5"/>
      <c r="O306" s="29"/>
      <c r="P306" s="29"/>
      <c r="Q306" s="29"/>
      <c r="V306" s="1"/>
    </row>
    <row r="307" spans="1:22" ht="24" x14ac:dyDescent="0.2">
      <c r="A307" s="10">
        <v>46143</v>
      </c>
      <c r="B307" s="23" t="s">
        <v>17</v>
      </c>
      <c r="C307" s="9"/>
      <c r="D307" s="85" t="str">
        <f>Table33[[#This Row],[EVENTO 1 PRESC.]]&amp;" + "&amp;Table33[[#This Row],[EVENTO 2 PRESC.]]</f>
        <v xml:space="preserve"> + </v>
      </c>
      <c r="E307" s="85" t="str">
        <f>Table334[[#This Row],[EVENTO 1 PYP]]&amp;" + "&amp;Table334[[#This Row],[EVENTO 2 PYP]]</f>
        <v xml:space="preserve"> + </v>
      </c>
      <c r="F307" s="85" t="str">
        <f>Table3345[[#This Row],[EVENTO 1 MYP]]&amp;" + "&amp;Table3345[[#This Row],[EVENTO 2 MYP]]</f>
        <v xml:space="preserve"> + </v>
      </c>
      <c r="G307" s="85" t="str">
        <f>Table33456[[#This Row],[EVENTO 1 DP]]&amp;" + "&amp;Table33456[[#This Row],[EVENTO 2 DP]]</f>
        <v xml:space="preserve"> + </v>
      </c>
      <c r="H307" s="85"/>
      <c r="I307" s="88"/>
      <c r="J307" s="88"/>
      <c r="K307" s="20"/>
      <c r="L307" s="26"/>
      <c r="M307" s="8"/>
      <c r="N307" s="8"/>
      <c r="O307" s="29"/>
      <c r="P307" s="29"/>
      <c r="Q307" s="29"/>
      <c r="V307" s="1"/>
    </row>
    <row r="308" spans="1:22" ht="24" x14ac:dyDescent="0.2">
      <c r="A308" s="10">
        <v>46144</v>
      </c>
      <c r="B308" s="23" t="s">
        <v>20</v>
      </c>
      <c r="C308" s="9"/>
      <c r="D308" s="85" t="str">
        <f>Table33[[#This Row],[EVENTO 1 PRESC.]]&amp;" + "&amp;Table33[[#This Row],[EVENTO 2 PRESC.]]</f>
        <v xml:space="preserve"> + </v>
      </c>
      <c r="E308" s="85" t="str">
        <f>Table334[[#This Row],[EVENTO 1 PYP]]&amp;" + "&amp;Table334[[#This Row],[EVENTO 2 PYP]]</f>
        <v xml:space="preserve"> + </v>
      </c>
      <c r="F308" s="85" t="str">
        <f>Table3345[[#This Row],[EVENTO 1 MYP]]&amp;" + "&amp;Table3345[[#This Row],[EVENTO 2 MYP]]</f>
        <v xml:space="preserve"> + </v>
      </c>
      <c r="G308" s="85" t="str">
        <f>Table33456[[#This Row],[EVENTO 1 DP]]&amp;" + "&amp;Table33456[[#This Row],[EVENTO 2 DP]]</f>
        <v xml:space="preserve"> + </v>
      </c>
      <c r="H308" s="85"/>
      <c r="I308" s="88"/>
      <c r="J308" s="88"/>
      <c r="K308" s="20"/>
      <c r="L308" s="26"/>
      <c r="M308" s="8"/>
      <c r="N308" s="8"/>
      <c r="O308" s="29"/>
      <c r="P308" s="29"/>
      <c r="Q308" s="29"/>
      <c r="V308" s="1"/>
    </row>
    <row r="309" spans="1:22" ht="24" x14ac:dyDescent="0.2">
      <c r="A309" s="10">
        <v>46145</v>
      </c>
      <c r="B309" s="23" t="s">
        <v>20</v>
      </c>
      <c r="C309" s="9"/>
      <c r="D309" s="85" t="str">
        <f>Table33[[#This Row],[EVENTO 1 PRESC.]]&amp;" + "&amp;Table33[[#This Row],[EVENTO 2 PRESC.]]</f>
        <v xml:space="preserve"> + </v>
      </c>
      <c r="E309" s="85" t="str">
        <f>Table334[[#This Row],[EVENTO 1 PYP]]&amp;" + "&amp;Table334[[#This Row],[EVENTO 2 PYP]]</f>
        <v xml:space="preserve"> + </v>
      </c>
      <c r="F309" s="85" t="str">
        <f>Table3345[[#This Row],[EVENTO 1 MYP]]&amp;" + "&amp;Table3345[[#This Row],[EVENTO 2 MYP]]</f>
        <v xml:space="preserve"> + </v>
      </c>
      <c r="G309" s="85" t="str">
        <f>Table33456[[#This Row],[EVENTO 1 DP]]&amp;" + "&amp;Table33456[[#This Row],[EVENTO 2 DP]]</f>
        <v xml:space="preserve"> + </v>
      </c>
      <c r="H309" s="85"/>
      <c r="I309" s="88"/>
      <c r="J309" s="88"/>
      <c r="K309" s="20"/>
      <c r="L309" s="26"/>
      <c r="M309" s="8"/>
      <c r="N309" s="8"/>
      <c r="O309" s="29"/>
      <c r="P309" s="29"/>
      <c r="Q309" s="29"/>
      <c r="V309" s="1"/>
    </row>
    <row r="310" spans="1:22" ht="32" x14ac:dyDescent="0.2">
      <c r="A310" s="7">
        <v>46146</v>
      </c>
      <c r="B310" s="33">
        <v>6</v>
      </c>
      <c r="C310" s="6"/>
      <c r="D310" s="91" t="str">
        <f>Table33[[#This Row],[EVENTO 1 PRESC.]]&amp;" + "&amp;Table33[[#This Row],[EVENTO 2 PRESC.]]</f>
        <v xml:space="preserve"> + </v>
      </c>
      <c r="E310" s="91" t="str">
        <f>Table334[[#This Row],[EVENTO 1 PYP]]&amp;" + "&amp;Table334[[#This Row],[EVENTO 2 PYP]]</f>
        <v xml:space="preserve"> + </v>
      </c>
      <c r="F310" s="91" t="str">
        <f>Table3345[[#This Row],[EVENTO 1 MYP]]&amp;" + "&amp;Table3345[[#This Row],[EVENTO 2 MYP]]</f>
        <v xml:space="preserve"> + </v>
      </c>
      <c r="G310" s="91" t="str">
        <f>Table33456[[#This Row],[EVENTO 1 DP]]&amp;" + "&amp;Table33456[[#This Row],[EVENTO 2 DP]]</f>
        <v>EXCURSIÓN G.10 + Exámes Externos IB 11DP</v>
      </c>
      <c r="H310" s="91"/>
      <c r="I310" s="92"/>
      <c r="J310" s="92"/>
      <c r="K310" s="21">
        <v>24</v>
      </c>
      <c r="L310" s="27">
        <f>1+SUM(L301:L307)</f>
        <v>35</v>
      </c>
      <c r="M310" s="5"/>
      <c r="N310" s="5"/>
      <c r="O310" s="29"/>
      <c r="P310" s="29"/>
      <c r="Q310" s="29"/>
      <c r="V310" s="1"/>
    </row>
    <row r="311" spans="1:22" ht="32" x14ac:dyDescent="0.2">
      <c r="A311" s="7">
        <v>46147</v>
      </c>
      <c r="B311" s="33">
        <v>1</v>
      </c>
      <c r="C311" s="6"/>
      <c r="D311" s="91" t="str">
        <f>Table33[[#This Row],[EVENTO 1 PRESC.]]&amp;" + "&amp;Table33[[#This Row],[EVENTO 2 PRESC.]]</f>
        <v xml:space="preserve"> + </v>
      </c>
      <c r="E311" s="91" t="str">
        <f>Table334[[#This Row],[EVENTO 1 PYP]]&amp;" + "&amp;Table334[[#This Row],[EVENTO 2 PYP]]</f>
        <v xml:space="preserve"> + </v>
      </c>
      <c r="F311" s="91" t="str">
        <f>Table3345[[#This Row],[EVENTO 1 MYP]]&amp;" + "&amp;Table3345[[#This Row],[EVENTO 2 MYP]]</f>
        <v xml:space="preserve"> + EXCURSIÓN G.07</v>
      </c>
      <c r="G311" s="91" t="str">
        <f>Table33456[[#This Row],[EVENTO 1 DP]]&amp;" + "&amp;Table33456[[#This Row],[EVENTO 2 DP]]</f>
        <v>EXCURSIÓN G.10 + Exámes Externos IB 11DP</v>
      </c>
      <c r="H311" s="91"/>
      <c r="I311" s="92"/>
      <c r="J311" s="92"/>
      <c r="K311" s="21"/>
      <c r="L311" s="27"/>
      <c r="M311" s="5"/>
      <c r="N311" s="5"/>
      <c r="O311" s="29"/>
      <c r="P311" s="29"/>
      <c r="Q311" s="29"/>
      <c r="V311" s="1"/>
    </row>
    <row r="312" spans="1:22" ht="32" x14ac:dyDescent="0.2">
      <c r="A312" s="7">
        <v>46148</v>
      </c>
      <c r="B312" s="33">
        <v>2</v>
      </c>
      <c r="C312" s="6"/>
      <c r="D312" s="91" t="str">
        <f>Table33[[#This Row],[EVENTO 1 PRESC.]]&amp;" + "&amp;Table33[[#This Row],[EVENTO 2 PRESC.]]</f>
        <v xml:space="preserve"> + </v>
      </c>
      <c r="E312" s="91" t="str">
        <f>Table334[[#This Row],[EVENTO 1 PYP]]&amp;" + "&amp;Table334[[#This Row],[EVENTO 2 PYP]]</f>
        <v xml:space="preserve"> + </v>
      </c>
      <c r="F312" s="91" t="str">
        <f>Table3345[[#This Row],[EVENTO 1 MYP]]&amp;" + "&amp;Table3345[[#This Row],[EVENTO 2 MYP]]</f>
        <v xml:space="preserve"> + EXCURSIÓN G.07</v>
      </c>
      <c r="G312" s="91" t="str">
        <f>Table33456[[#This Row],[EVENTO 1 DP]]&amp;" + "&amp;Table33456[[#This Row],[EVENTO 2 DP]]</f>
        <v>EXCURSIÓN G.10 + Exámes Externos IB 11DP</v>
      </c>
      <c r="H312" s="91"/>
      <c r="I312" s="92"/>
      <c r="J312" s="92"/>
      <c r="K312" s="21"/>
      <c r="L312" s="27"/>
      <c r="M312" s="5"/>
      <c r="N312" s="5"/>
      <c r="O312" s="29"/>
      <c r="P312" s="29"/>
      <c r="Q312" s="29"/>
      <c r="V312" s="1"/>
    </row>
    <row r="313" spans="1:22" ht="32" x14ac:dyDescent="0.2">
      <c r="A313" s="7">
        <v>46149</v>
      </c>
      <c r="B313" s="33">
        <v>3</v>
      </c>
      <c r="C313" s="6"/>
      <c r="D313" s="91" t="str">
        <f>Table33[[#This Row],[EVENTO 1 PRESC.]]&amp;" + "&amp;Table33[[#This Row],[EVENTO 2 PRESC.]]</f>
        <v xml:space="preserve">IB Learner Profile Assembly (Inquirers &amp; Reflective) + </v>
      </c>
      <c r="E313" s="91" t="str">
        <f>Table334[[#This Row],[EVENTO 1 PYP]]&amp;" + "&amp;Table334[[#This Row],[EVENTO 2 PYP]]</f>
        <v xml:space="preserve">IB Learner Profile Assembly (Inquirers &amp; Reflective) + </v>
      </c>
      <c r="F313" s="91" t="str">
        <f>Table3345[[#This Row],[EVENTO 1 MYP]]&amp;" + "&amp;Table3345[[#This Row],[EVENTO 2 MYP]]</f>
        <v xml:space="preserve"> + EXCURSIÓN G.07</v>
      </c>
      <c r="G313" s="91" t="str">
        <f>Table33456[[#This Row],[EVENTO 1 DP]]&amp;" + "&amp;Table33456[[#This Row],[EVENTO 2 DP]]</f>
        <v>EXCURSIÓN G.10 + Exámes Externos IB 11DP</v>
      </c>
      <c r="H313" s="91"/>
      <c r="I313" s="92"/>
      <c r="J313" s="92"/>
      <c r="K313" s="21"/>
      <c r="L313" s="27"/>
      <c r="M313" s="5"/>
      <c r="N313" s="5"/>
      <c r="O313" s="29"/>
      <c r="P313" s="29"/>
      <c r="Q313" s="29"/>
      <c r="V313" s="1"/>
    </row>
    <row r="314" spans="1:22" ht="48" x14ac:dyDescent="0.2">
      <c r="A314" s="7">
        <v>46150</v>
      </c>
      <c r="B314" s="33">
        <v>4</v>
      </c>
      <c r="C314" s="6" t="s">
        <v>7</v>
      </c>
      <c r="D314" s="91" t="str">
        <f>Table33[[#This Row],[EVENTO 1 PRESC.]]&amp;" + "&amp;Table33[[#This Row],[EVENTO 2 PRESC.]]</f>
        <v xml:space="preserve"> + </v>
      </c>
      <c r="E314" s="91" t="str">
        <f>Table334[[#This Row],[EVENTO 1 PYP]]&amp;" + "&amp;Table334[[#This Row],[EVENTO 2 PYP]]</f>
        <v xml:space="preserve"> + </v>
      </c>
      <c r="F314" s="91" t="str">
        <f>Table3345[[#This Row],[EVENTO 1 MYP]]&amp;" + "&amp;Table3345[[#This Row],[EVENTO 2 MYP]]</f>
        <v>FERIA IMPACTA (COLABORACIÓN) - ASISTE TODO GRADO OCTAVO + EXCURSIÓN G.07</v>
      </c>
      <c r="G314" s="91" t="str">
        <f>Table33456[[#This Row],[EVENTO 1 DP]]&amp;" + "&amp;Table33456[[#This Row],[EVENTO 2 DP]]</f>
        <v>EXCURSIÓN G.10 + Exámes Externos IB 11DP</v>
      </c>
      <c r="H314" s="91"/>
      <c r="I314" s="92"/>
      <c r="J314" s="92"/>
      <c r="K314" s="21"/>
      <c r="L314" s="27"/>
      <c r="M314" s="5"/>
      <c r="N314" s="5"/>
      <c r="O314" s="29"/>
      <c r="P314" s="29"/>
      <c r="Q314" s="29"/>
      <c r="V314" s="1"/>
    </row>
    <row r="315" spans="1:22" ht="24" x14ac:dyDescent="0.2">
      <c r="A315" s="10">
        <v>46151</v>
      </c>
      <c r="B315" s="23" t="s">
        <v>20</v>
      </c>
      <c r="C315" s="9" t="s">
        <v>108</v>
      </c>
      <c r="D315" s="85" t="str">
        <f>Table33[[#This Row],[EVENTO 1 PRESC.]]&amp;" + "&amp;Table33[[#This Row],[EVENTO 2 PRESC.]]</f>
        <v xml:space="preserve"> + </v>
      </c>
      <c r="E315" s="85" t="str">
        <f>Table334[[#This Row],[EVENTO 1 PYP]]&amp;" + "&amp;Table334[[#This Row],[EVENTO 2 PYP]]</f>
        <v xml:space="preserve"> + </v>
      </c>
      <c r="F315" s="85" t="str">
        <f>Table3345[[#This Row],[EVENTO 1 MYP]]&amp;" + "&amp;Table3345[[#This Row],[EVENTO 2 MYP]]</f>
        <v xml:space="preserve"> + </v>
      </c>
      <c r="G315" s="85" t="str">
        <f>Table33456[[#This Row],[EVENTO 1 DP]]&amp;" + "&amp;Table33456[[#This Row],[EVENTO 2 DP]]</f>
        <v xml:space="preserve"> + </v>
      </c>
      <c r="H315" s="85"/>
      <c r="I315" s="88"/>
      <c r="J315" s="88"/>
      <c r="K315" s="20"/>
      <c r="L315" s="26"/>
      <c r="M315" s="8"/>
      <c r="N315" s="8"/>
      <c r="O315" s="29"/>
      <c r="P315" s="29"/>
      <c r="Q315" s="29"/>
      <c r="V315" s="1"/>
    </row>
    <row r="316" spans="1:22" ht="24" x14ac:dyDescent="0.2">
      <c r="A316" s="10">
        <v>46152</v>
      </c>
      <c r="B316" s="23" t="s">
        <v>20</v>
      </c>
      <c r="C316" s="9"/>
      <c r="D316" s="85" t="str">
        <f>Table33[[#This Row],[EVENTO 1 PRESC.]]&amp;" + "&amp;Table33[[#This Row],[EVENTO 2 PRESC.]]</f>
        <v xml:space="preserve"> + </v>
      </c>
      <c r="E316" s="85" t="str">
        <f>Table334[[#This Row],[EVENTO 1 PYP]]&amp;" + "&amp;Table334[[#This Row],[EVENTO 2 PYP]]</f>
        <v xml:space="preserve"> + </v>
      </c>
      <c r="F316" s="85" t="str">
        <f>Table3345[[#This Row],[EVENTO 1 MYP]]&amp;" + "&amp;Table3345[[#This Row],[EVENTO 2 MYP]]</f>
        <v xml:space="preserve"> + EXCURSIÓN G.08</v>
      </c>
      <c r="G316" s="85" t="str">
        <f>Table33456[[#This Row],[EVENTO 1 DP]]&amp;" + "&amp;Table33456[[#This Row],[EVENTO 2 DP]]</f>
        <v xml:space="preserve"> + </v>
      </c>
      <c r="H316" s="85"/>
      <c r="I316" s="88"/>
      <c r="J316" s="88"/>
      <c r="K316" s="20"/>
      <c r="L316" s="26"/>
      <c r="M316" s="8"/>
      <c r="N316" s="8"/>
      <c r="O316" s="29"/>
      <c r="P316" s="29"/>
      <c r="Q316" s="29"/>
      <c r="V316" s="1"/>
    </row>
    <row r="317" spans="1:22" ht="24" x14ac:dyDescent="0.2">
      <c r="A317" s="7">
        <v>46153</v>
      </c>
      <c r="B317" s="33">
        <v>5</v>
      </c>
      <c r="C317" s="6"/>
      <c r="D317" s="91" t="str">
        <f>Table33[[#This Row],[EVENTO 1 PRESC.]]&amp;" + "&amp;Table33[[#This Row],[EVENTO 2 PRESC.]]</f>
        <v xml:space="preserve">Notas parciales en Phidias  + </v>
      </c>
      <c r="E317" s="91" t="str">
        <f>Table334[[#This Row],[EVENTO 1 PYP]]&amp;" + "&amp;Table334[[#This Row],[EVENTO 2 PYP]]</f>
        <v xml:space="preserve">Notas parciales en Phidias  + </v>
      </c>
      <c r="F317" s="91" t="str">
        <f>Table3345[[#This Row],[EVENTO 1 MYP]]&amp;" + "&amp;Table3345[[#This Row],[EVENTO 2 MYP]]</f>
        <v xml:space="preserve"> + EXCURSIÓN G.08</v>
      </c>
      <c r="G317" s="91" t="str">
        <f>Table33456[[#This Row],[EVENTO 1 DP]]&amp;" + "&amp;Table33456[[#This Row],[EVENTO 2 DP]]</f>
        <v xml:space="preserve"> + Exámes Externos IB 11DP</v>
      </c>
      <c r="H317" s="91"/>
      <c r="I317" s="92"/>
      <c r="J317" s="92"/>
      <c r="K317" s="21"/>
      <c r="L317" s="27">
        <f>1+SUM(L308:L314)</f>
        <v>36</v>
      </c>
      <c r="M317" s="5"/>
      <c r="N317" s="5"/>
      <c r="O317" s="29"/>
      <c r="P317" s="29"/>
      <c r="Q317" s="29"/>
      <c r="V317" s="1"/>
    </row>
    <row r="318" spans="1:22" ht="24" x14ac:dyDescent="0.2">
      <c r="A318" s="7">
        <v>46154</v>
      </c>
      <c r="B318" s="33">
        <v>6</v>
      </c>
      <c r="C318" s="6"/>
      <c r="D318" s="91" t="str">
        <f>Table33[[#This Row],[EVENTO 1 PRESC.]]&amp;" + "&amp;Table33[[#This Row],[EVENTO 2 PRESC.]]</f>
        <v xml:space="preserve"> + </v>
      </c>
      <c r="E318" s="91" t="str">
        <f>Table334[[#This Row],[EVENTO 1 PYP]]&amp;" + "&amp;Table334[[#This Row],[EVENTO 2 PYP]]</f>
        <v xml:space="preserve"> + </v>
      </c>
      <c r="F318" s="91" t="str">
        <f>Table3345[[#This Row],[EVENTO 1 MYP]]&amp;" + "&amp;Table3345[[#This Row],[EVENTO 2 MYP]]</f>
        <v xml:space="preserve"> + EXCURSIÓN G.08</v>
      </c>
      <c r="G318" s="91" t="str">
        <f>Table33456[[#This Row],[EVENTO 1 DP]]&amp;" + "&amp;Table33456[[#This Row],[EVENTO 2 DP]]</f>
        <v xml:space="preserve"> + Exámes Externos IB 11DP</v>
      </c>
      <c r="H318" s="91"/>
      <c r="I318" s="92"/>
      <c r="J318" s="92"/>
      <c r="K318" s="21">
        <v>25</v>
      </c>
      <c r="L318" s="27"/>
      <c r="M318" s="5"/>
      <c r="N318" s="5"/>
      <c r="O318" s="29"/>
      <c r="P318" s="29"/>
      <c r="Q318" s="29"/>
      <c r="V318" s="1"/>
    </row>
    <row r="319" spans="1:22" ht="24" x14ac:dyDescent="0.2">
      <c r="A319" s="7">
        <v>46155</v>
      </c>
      <c r="B319" s="33">
        <v>1</v>
      </c>
      <c r="C319" s="6"/>
      <c r="D319" s="91" t="str">
        <f>Table33[[#This Row],[EVENTO 1 PRESC.]]&amp;" + "&amp;Table33[[#This Row],[EVENTO 2 PRESC.]]</f>
        <v xml:space="preserve"> + </v>
      </c>
      <c r="E319" s="91" t="str">
        <f>Table334[[#This Row],[EVENTO 1 PYP]]&amp;" + "&amp;Table334[[#This Row],[EVENTO 2 PYP]]</f>
        <v xml:space="preserve"> + </v>
      </c>
      <c r="F319" s="91" t="str">
        <f>Table3345[[#This Row],[EVENTO 1 MYP]]&amp;" + "&amp;Table3345[[#This Row],[EVENTO 2 MYP]]</f>
        <v xml:space="preserve"> + EXCURSIÓN G.08</v>
      </c>
      <c r="G319" s="91" t="str">
        <f>Table33456[[#This Row],[EVENTO 1 DP]]&amp;" + "&amp;Table33456[[#This Row],[EVENTO 2 DP]]</f>
        <v xml:space="preserve"> + Exámes Externos IB 11DP</v>
      </c>
      <c r="H319" s="91"/>
      <c r="I319" s="92"/>
      <c r="J319" s="92"/>
      <c r="K319" s="21"/>
      <c r="L319" s="27"/>
      <c r="M319" s="5"/>
      <c r="N319" s="5"/>
      <c r="O319" s="29"/>
      <c r="P319" s="29"/>
      <c r="Q319" s="29"/>
      <c r="V319" s="1"/>
    </row>
    <row r="320" spans="1:22" ht="32" x14ac:dyDescent="0.2">
      <c r="A320" s="7">
        <v>46156</v>
      </c>
      <c r="B320" s="33">
        <v>2</v>
      </c>
      <c r="C320" s="6"/>
      <c r="D320" s="91" t="str">
        <f>Table33[[#This Row],[EVENTO 1 PRESC.]]&amp;" + "&amp;Table33[[#This Row],[EVENTO 2 PRESC.]]</f>
        <v xml:space="preserve">Teacher's Day Celebration with parents  + </v>
      </c>
      <c r="E320" s="91" t="str">
        <f>Table334[[#This Row],[EVENTO 1 PYP]]&amp;" + "&amp;Table334[[#This Row],[EVENTO 2 PYP]]</f>
        <v xml:space="preserve">Teacher's Day Celebration with parents  + </v>
      </c>
      <c r="F320" s="91" t="str">
        <f>Table3345[[#This Row],[EVENTO 1 MYP]]&amp;" + "&amp;Table3345[[#This Row],[EVENTO 2 MYP]]</f>
        <v xml:space="preserve"> + EXCURSIÓN G.08</v>
      </c>
      <c r="G320" s="91" t="str">
        <f>Table33456[[#This Row],[EVENTO 1 DP]]&amp;" + "&amp;Table33456[[#This Row],[EVENTO 2 DP]]</f>
        <v xml:space="preserve"> + Exámes Externos IB 11DP</v>
      </c>
      <c r="H320" s="91"/>
      <c r="I320" s="92"/>
      <c r="J320" s="92"/>
      <c r="K320" s="21"/>
      <c r="L320" s="27"/>
      <c r="M320" s="5"/>
      <c r="N320" s="5"/>
      <c r="O320" s="29"/>
      <c r="P320" s="29"/>
      <c r="Q320" s="29"/>
      <c r="V320" s="1"/>
    </row>
    <row r="321" spans="1:22" ht="24" x14ac:dyDescent="0.2">
      <c r="A321" s="10">
        <v>46157</v>
      </c>
      <c r="B321" s="23" t="s">
        <v>109</v>
      </c>
      <c r="C321" s="9"/>
      <c r="D321" s="85" t="str">
        <f>Table33[[#This Row],[EVENTO 1 PRESC.]]&amp;" + "&amp;Table33[[#This Row],[EVENTO 2 PRESC.]]</f>
        <v xml:space="preserve"> + </v>
      </c>
      <c r="E321" s="85" t="str">
        <f>Table334[[#This Row],[EVENTO 1 PYP]]&amp;" + "&amp;Table334[[#This Row],[EVENTO 2 PYP]]</f>
        <v xml:space="preserve"> + </v>
      </c>
      <c r="F321" s="85" t="str">
        <f>Table3345[[#This Row],[EVENTO 1 MYP]]&amp;" + "&amp;Table3345[[#This Row],[EVENTO 2 MYP]]</f>
        <v xml:space="preserve"> + </v>
      </c>
      <c r="G321" s="85" t="str">
        <f>Table33456[[#This Row],[EVENTO 1 DP]]&amp;" + "&amp;Table33456[[#This Row],[EVENTO 2 DP]]</f>
        <v xml:space="preserve"> + Exámes Externos IB 11DP</v>
      </c>
      <c r="H321" s="85"/>
      <c r="I321" s="88"/>
      <c r="J321" s="88"/>
      <c r="K321" s="20"/>
      <c r="L321" s="26"/>
      <c r="M321" s="8"/>
      <c r="N321" s="8"/>
      <c r="O321" s="29"/>
      <c r="P321" s="29"/>
      <c r="Q321" s="29"/>
      <c r="V321" s="1"/>
    </row>
    <row r="322" spans="1:22" ht="24" x14ac:dyDescent="0.2">
      <c r="A322" s="10">
        <v>46158</v>
      </c>
      <c r="B322" s="23" t="s">
        <v>20</v>
      </c>
      <c r="C322" s="9"/>
      <c r="D322" s="85" t="str">
        <f>Table33[[#This Row],[EVENTO 1 PRESC.]]&amp;" + "&amp;Table33[[#This Row],[EVENTO 2 PRESC.]]</f>
        <v xml:space="preserve"> + </v>
      </c>
      <c r="E322" s="85" t="str">
        <f>Table334[[#This Row],[EVENTO 1 PYP]]&amp;" + "&amp;Table334[[#This Row],[EVENTO 2 PYP]]</f>
        <v xml:space="preserve"> + </v>
      </c>
      <c r="F322" s="85" t="str">
        <f>Table3345[[#This Row],[EVENTO 1 MYP]]&amp;" + "&amp;Table3345[[#This Row],[EVENTO 2 MYP]]</f>
        <v xml:space="preserve"> + </v>
      </c>
      <c r="G322" s="85" t="str">
        <f>Table33456[[#This Row],[EVENTO 1 DP]]&amp;" + "&amp;Table33456[[#This Row],[EVENTO 2 DP]]</f>
        <v xml:space="preserve"> + </v>
      </c>
      <c r="H322" s="85"/>
      <c r="I322" s="88"/>
      <c r="J322" s="88"/>
      <c r="K322" s="20"/>
      <c r="L322" s="26"/>
      <c r="M322" s="8"/>
      <c r="N322" s="8"/>
      <c r="O322" s="29"/>
      <c r="P322" s="29"/>
      <c r="Q322" s="29"/>
      <c r="V322" s="1"/>
    </row>
    <row r="323" spans="1:22" ht="24" x14ac:dyDescent="0.2">
      <c r="A323" s="10">
        <v>46159</v>
      </c>
      <c r="B323" s="23" t="s">
        <v>20</v>
      </c>
      <c r="C323" s="9"/>
      <c r="D323" s="85" t="str">
        <f>Table33[[#This Row],[EVENTO 1 PRESC.]]&amp;" + "&amp;Table33[[#This Row],[EVENTO 2 PRESC.]]</f>
        <v xml:space="preserve"> + </v>
      </c>
      <c r="E323" s="85" t="str">
        <f>Table334[[#This Row],[EVENTO 1 PYP]]&amp;" + "&amp;Table334[[#This Row],[EVENTO 2 PYP]]</f>
        <v xml:space="preserve"> + </v>
      </c>
      <c r="F323" s="85" t="str">
        <f>Table3345[[#This Row],[EVENTO 1 MYP]]&amp;" + "&amp;Table3345[[#This Row],[EVENTO 2 MYP]]</f>
        <v xml:space="preserve"> + </v>
      </c>
      <c r="G323" s="85" t="str">
        <f>Table33456[[#This Row],[EVENTO 1 DP]]&amp;" + "&amp;Table33456[[#This Row],[EVENTO 2 DP]]</f>
        <v xml:space="preserve"> + </v>
      </c>
      <c r="H323" s="85"/>
      <c r="I323" s="88"/>
      <c r="J323" s="88"/>
      <c r="K323" s="20"/>
      <c r="L323" s="26"/>
      <c r="M323" s="8"/>
      <c r="N323" s="8"/>
      <c r="O323" s="29"/>
      <c r="P323" s="29"/>
      <c r="Q323" s="29"/>
      <c r="V323" s="1"/>
    </row>
    <row r="324" spans="1:22" ht="24" x14ac:dyDescent="0.2">
      <c r="A324" s="10">
        <v>46160</v>
      </c>
      <c r="B324" s="23" t="s">
        <v>17</v>
      </c>
      <c r="C324" s="9"/>
      <c r="D324" s="85" t="str">
        <f>Table33[[#This Row],[EVENTO 1 PRESC.]]&amp;" + "&amp;Table33[[#This Row],[EVENTO 2 PRESC.]]</f>
        <v xml:space="preserve"> + </v>
      </c>
      <c r="E324" s="85" t="str">
        <f>Table334[[#This Row],[EVENTO 1 PYP]]&amp;" + "&amp;Table334[[#This Row],[EVENTO 2 PYP]]</f>
        <v xml:space="preserve"> + </v>
      </c>
      <c r="F324" s="85" t="str">
        <f>Table3345[[#This Row],[EVENTO 1 MYP]]&amp;" + "&amp;Table3345[[#This Row],[EVENTO 2 MYP]]</f>
        <v xml:space="preserve"> + </v>
      </c>
      <c r="G324" s="85" t="str">
        <f>Table33456[[#This Row],[EVENTO 1 DP]]&amp;" + "&amp;Table33456[[#This Row],[EVENTO 2 DP]]</f>
        <v xml:space="preserve"> + Exámes Externos IB 11DP</v>
      </c>
      <c r="H324" s="85"/>
      <c r="I324" s="88"/>
      <c r="J324" s="88"/>
      <c r="K324" s="20"/>
      <c r="L324" s="26"/>
      <c r="M324" s="8"/>
      <c r="N324" s="8"/>
      <c r="O324" s="29"/>
      <c r="P324" s="29"/>
      <c r="Q324" s="29"/>
      <c r="V324" s="1"/>
    </row>
    <row r="325" spans="1:22" ht="112" x14ac:dyDescent="0.2">
      <c r="A325" s="7">
        <v>46161</v>
      </c>
      <c r="B325" s="33">
        <v>3</v>
      </c>
      <c r="C325" s="6"/>
      <c r="D325" s="91" t="str">
        <f>Table33[[#This Row],[EVENTO 1 PRESC.]]&amp;" + "&amp;Table33[[#This Row],[EVENTO 2 PRESC.]]</f>
        <v xml:space="preserve">Evaluation Committees IIII Bim + </v>
      </c>
      <c r="E325" s="91" t="str">
        <f>Table334[[#This Row],[EVENTO 1 PYP]]&amp;" + "&amp;Table334[[#This Row],[EVENTO 2 PYP]]</f>
        <v xml:space="preserve">Evaluation Committees IV Bim + </v>
      </c>
      <c r="F325" s="91" t="str">
        <f>Table3345[[#This Row],[EVENTO 1 MYP]]&amp;" + "&amp;Table3345[[#This Row],[EVENTO 2 MYP]]</f>
        <v xml:space="preserve"> + </v>
      </c>
      <c r="G325" s="91" t="str">
        <f>Table33456[[#This Row],[EVENTO 1 DP]]&amp;" + "&amp;Table33456[[#This Row],[EVENTO 2 DP]]</f>
        <v xml:space="preserve"> + Exámes Externos IB 11DP</v>
      </c>
      <c r="H325" s="91"/>
      <c r="I325" s="92" t="s">
        <v>110</v>
      </c>
      <c r="J325" s="92"/>
      <c r="K325" s="21"/>
      <c r="L325" s="27">
        <f>1+SUM(L316:L322)</f>
        <v>37</v>
      </c>
      <c r="M325" s="5"/>
      <c r="N325" s="5"/>
      <c r="O325" s="29"/>
      <c r="P325" s="29"/>
      <c r="Q325" s="29"/>
      <c r="V325" s="1"/>
    </row>
    <row r="326" spans="1:22" ht="24" x14ac:dyDescent="0.2">
      <c r="A326" s="7">
        <v>46162</v>
      </c>
      <c r="B326" s="33">
        <v>4</v>
      </c>
      <c r="C326" s="6"/>
      <c r="D326" s="91" t="str">
        <f>Table33[[#This Row],[EVENTO 1 PRESC.]]&amp;" + "&amp;Table33[[#This Row],[EVENTO 2 PRESC.]]</f>
        <v xml:space="preserve">Evaluation Committees IIII Bim + </v>
      </c>
      <c r="E326" s="91" t="str">
        <f>Table334[[#This Row],[EVENTO 1 PYP]]&amp;" + "&amp;Table334[[#This Row],[EVENTO 2 PYP]]</f>
        <v xml:space="preserve">Evaluation Committees IV Bim + </v>
      </c>
      <c r="F326" s="91" t="str">
        <f>Table3345[[#This Row],[EVENTO 1 MYP]]&amp;" + "&amp;Table3345[[#This Row],[EVENTO 2 MYP]]</f>
        <v xml:space="preserve"> + </v>
      </c>
      <c r="G326" s="91" t="str">
        <f>Table33456[[#This Row],[EVENTO 1 DP]]&amp;" + "&amp;Table33456[[#This Row],[EVENTO 2 DP]]</f>
        <v xml:space="preserve"> + Exámes Externos IB 11DP</v>
      </c>
      <c r="H326" s="91"/>
      <c r="I326" s="92"/>
      <c r="J326" s="92"/>
      <c r="K326" s="21"/>
      <c r="L326" s="27"/>
      <c r="M326" s="5"/>
      <c r="N326" s="5"/>
      <c r="O326" s="29"/>
      <c r="P326" s="29"/>
      <c r="Q326" s="29"/>
      <c r="V326" s="1"/>
    </row>
    <row r="327" spans="1:22" ht="64" x14ac:dyDescent="0.2">
      <c r="A327" s="7">
        <v>46163</v>
      </c>
      <c r="B327" s="33">
        <v>5</v>
      </c>
      <c r="C327" s="6"/>
      <c r="D327" s="91" t="str">
        <f>Table33[[#This Row],[EVENTO 1 PRESC.]]&amp;" + "&amp;Table33[[#This Row],[EVENTO 2 PRESC.]]</f>
        <v xml:space="preserve">Evaluation Committees IIII Bim + </v>
      </c>
      <c r="E327" s="91" t="str">
        <f>Table334[[#This Row],[EVENTO 1 PYP]]&amp;" + "&amp;Table334[[#This Row],[EVENTO 2 PYP]]</f>
        <v xml:space="preserve">Evaluation Committees IV Bim + </v>
      </c>
      <c r="F327" s="91" t="str">
        <f>Table3345[[#This Row],[EVENTO 1 MYP]]&amp;" + "&amp;Table3345[[#This Row],[EVENTO 2 MYP]]</f>
        <v xml:space="preserve"> + </v>
      </c>
      <c r="G327" s="91" t="str">
        <f>Table33456[[#This Row],[EVENTO 1 DP]]&amp;" + "&amp;Table33456[[#This Row],[EVENTO 2 DP]]</f>
        <v xml:space="preserve"> + </v>
      </c>
      <c r="H327" s="91"/>
      <c r="I327" s="92"/>
      <c r="J327" s="92" t="s">
        <v>111</v>
      </c>
      <c r="K327" s="21"/>
      <c r="L327" s="27"/>
      <c r="M327" s="5"/>
      <c r="N327" s="5"/>
      <c r="O327" s="29"/>
      <c r="P327" s="29"/>
      <c r="Q327" s="29"/>
      <c r="V327" s="1"/>
    </row>
    <row r="328" spans="1:22" ht="64" x14ac:dyDescent="0.2">
      <c r="A328" s="7">
        <v>46164</v>
      </c>
      <c r="B328" s="24" t="s">
        <v>51</v>
      </c>
      <c r="C328" s="6" t="s">
        <v>112</v>
      </c>
      <c r="D328" s="91" t="str">
        <f>Table33[[#This Row],[EVENTO 1 PRESC.]]&amp;" + "&amp;Table33[[#This Row],[EVENTO 2 PRESC.]]</f>
        <v xml:space="preserve">CLAUSURAS ARTÍSTICAS + </v>
      </c>
      <c r="E328" s="91" t="str">
        <f>Table334[[#This Row],[EVENTO 1 PYP]]&amp;" + "&amp;Table334[[#This Row],[EVENTO 2 PYP]]</f>
        <v xml:space="preserve">CLAUSURAS ARTÍSTICAS + </v>
      </c>
      <c r="F328" s="91" t="str">
        <f>Table3345[[#This Row],[EVENTO 1 MYP]]&amp;" + "&amp;Table3345[[#This Row],[EVENTO 2 MYP]]</f>
        <v xml:space="preserve"> + </v>
      </c>
      <c r="G328" s="91" t="str">
        <f>Table33456[[#This Row],[EVENTO 1 DP]]&amp;" + "&amp;Table33456[[#This Row],[EVENTO 2 DP]]</f>
        <v xml:space="preserve"> + </v>
      </c>
      <c r="H328" s="91"/>
      <c r="I328" s="92"/>
      <c r="J328" s="92" t="s">
        <v>111</v>
      </c>
      <c r="K328" s="21"/>
      <c r="L328" s="27"/>
      <c r="M328" s="5"/>
      <c r="N328" s="5"/>
      <c r="O328" s="29"/>
      <c r="P328" s="29"/>
      <c r="Q328" s="29"/>
      <c r="V328" s="1"/>
    </row>
    <row r="329" spans="1:22" ht="64" x14ac:dyDescent="0.2">
      <c r="A329" s="10">
        <v>46165</v>
      </c>
      <c r="B329" s="23" t="s">
        <v>20</v>
      </c>
      <c r="C329" s="9"/>
      <c r="D329" s="85" t="str">
        <f>Table33[[#This Row],[EVENTO 1 PRESC.]]&amp;" + "&amp;Table33[[#This Row],[EVENTO 2 PRESC.]]</f>
        <v xml:space="preserve"> + </v>
      </c>
      <c r="E329" s="85" t="str">
        <f>Table334[[#This Row],[EVENTO 1 PYP]]&amp;" + "&amp;Table334[[#This Row],[EVENTO 2 PYP]]</f>
        <v xml:space="preserve"> + </v>
      </c>
      <c r="F329" s="85" t="str">
        <f>Table3345[[#This Row],[EVENTO 1 MYP]]&amp;" + "&amp;Table3345[[#This Row],[EVENTO 2 MYP]]</f>
        <v xml:space="preserve"> + </v>
      </c>
      <c r="G329" s="85" t="str">
        <f>Table33456[[#This Row],[EVENTO 1 DP]]&amp;" + "&amp;Table33456[[#This Row],[EVENTO 2 DP]]</f>
        <v xml:space="preserve"> + </v>
      </c>
      <c r="H329" s="85"/>
      <c r="I329" s="88"/>
      <c r="J329" s="88" t="s">
        <v>111</v>
      </c>
      <c r="K329" s="20"/>
      <c r="L329" s="26"/>
      <c r="M329" s="8"/>
      <c r="N329" s="8"/>
      <c r="O329" s="29"/>
      <c r="P329" s="29"/>
      <c r="Q329" s="29"/>
      <c r="V329" s="1"/>
    </row>
    <row r="330" spans="1:22" ht="24" x14ac:dyDescent="0.2">
      <c r="A330" s="10">
        <v>46166</v>
      </c>
      <c r="B330" s="23" t="s">
        <v>20</v>
      </c>
      <c r="C330" s="9"/>
      <c r="D330" s="85" t="str">
        <f>Table33[[#This Row],[EVENTO 1 PRESC.]]&amp;" + "&amp;Table33[[#This Row],[EVENTO 2 PRESC.]]</f>
        <v xml:space="preserve"> + </v>
      </c>
      <c r="E330" s="85" t="str">
        <f>Table334[[#This Row],[EVENTO 1 PYP]]&amp;" + "&amp;Table334[[#This Row],[EVENTO 2 PYP]]</f>
        <v xml:space="preserve"> + </v>
      </c>
      <c r="F330" s="85" t="str">
        <f>Table3345[[#This Row],[EVENTO 1 MYP]]&amp;" + "&amp;Table3345[[#This Row],[EVENTO 2 MYP]]</f>
        <v xml:space="preserve"> + </v>
      </c>
      <c r="G330" s="85" t="str">
        <f>Table33456[[#This Row],[EVENTO 1 DP]]&amp;" + "&amp;Table33456[[#This Row],[EVENTO 2 DP]]</f>
        <v xml:space="preserve"> + </v>
      </c>
      <c r="H330" s="85"/>
      <c r="I330" s="88"/>
      <c r="J330" s="88"/>
      <c r="K330" s="20"/>
      <c r="L330" s="26"/>
      <c r="M330" s="8"/>
      <c r="N330" s="8"/>
      <c r="O330" s="29"/>
      <c r="P330" s="29"/>
      <c r="Q330" s="29"/>
      <c r="V330" s="1"/>
    </row>
    <row r="331" spans="1:22" ht="24" x14ac:dyDescent="0.2">
      <c r="A331" s="7">
        <v>46167</v>
      </c>
      <c r="B331" s="33">
        <v>6</v>
      </c>
      <c r="C331" s="6" t="s">
        <v>77</v>
      </c>
      <c r="D331" s="91" t="str">
        <f>Table33[[#This Row],[EVENTO 1 PRESC.]]&amp;" + "&amp;Table33[[#This Row],[EVENTO 2 PRESC.]]</f>
        <v xml:space="preserve"> + </v>
      </c>
      <c r="E331" s="91" t="str">
        <f>Table334[[#This Row],[EVENTO 1 PYP]]&amp;" + "&amp;Table334[[#This Row],[EVENTO 2 PYP]]</f>
        <v xml:space="preserve"> + </v>
      </c>
      <c r="F331" s="91" t="str">
        <f>Table3345[[#This Row],[EVENTO 1 MYP]]&amp;" + "&amp;Table3345[[#This Row],[EVENTO 2 MYP]]</f>
        <v xml:space="preserve"> + </v>
      </c>
      <c r="G331" s="91" t="str">
        <f>Table33456[[#This Row],[EVENTO 1 DP]]&amp;" + "&amp;Table33456[[#This Row],[EVENTO 2 DP]]</f>
        <v xml:space="preserve"> + </v>
      </c>
      <c r="H331" s="91"/>
      <c r="I331" s="92"/>
      <c r="J331" s="92"/>
      <c r="K331" s="21">
        <v>26</v>
      </c>
      <c r="L331" s="27">
        <f>1+SUM(L322:L328)</f>
        <v>38</v>
      </c>
      <c r="M331" s="5"/>
      <c r="N331" s="5"/>
      <c r="O331" s="29"/>
      <c r="P331" s="29"/>
      <c r="Q331" s="29"/>
      <c r="V331" s="1"/>
    </row>
    <row r="332" spans="1:22" ht="24" x14ac:dyDescent="0.2">
      <c r="A332" s="7">
        <v>46168</v>
      </c>
      <c r="B332" s="33">
        <v>1</v>
      </c>
      <c r="C332" s="6" t="s">
        <v>77</v>
      </c>
      <c r="D332" s="91" t="str">
        <f>Table33[[#This Row],[EVENTO 1 PRESC.]]&amp;" + "&amp;Table33[[#This Row],[EVENTO 2 PRESC.]]</f>
        <v xml:space="preserve"> + </v>
      </c>
      <c r="E332" s="91" t="str">
        <f>Table334[[#This Row],[EVENTO 1 PYP]]&amp;" + "&amp;Table334[[#This Row],[EVENTO 2 PYP]]</f>
        <v xml:space="preserve"> + </v>
      </c>
      <c r="F332" s="91" t="str">
        <f>Table3345[[#This Row],[EVENTO 1 MYP]]&amp;" + "&amp;Table3345[[#This Row],[EVENTO 2 MYP]]</f>
        <v xml:space="preserve"> + </v>
      </c>
      <c r="G332" s="91" t="str">
        <f>Table33456[[#This Row],[EVENTO 1 DP]]&amp;" + "&amp;Table33456[[#This Row],[EVENTO 2 DP]]</f>
        <v xml:space="preserve"> + </v>
      </c>
      <c r="H332" s="91"/>
      <c r="I332" s="92"/>
      <c r="J332" s="92"/>
      <c r="K332" s="21"/>
      <c r="L332" s="27"/>
      <c r="M332" s="5"/>
      <c r="N332" s="5"/>
      <c r="O332" s="29"/>
      <c r="P332" s="29"/>
      <c r="Q332" s="29"/>
      <c r="V332" s="1"/>
    </row>
    <row r="333" spans="1:22" ht="24" x14ac:dyDescent="0.2">
      <c r="A333" s="7">
        <v>46169</v>
      </c>
      <c r="B333" s="33">
        <v>2</v>
      </c>
      <c r="C333" s="6" t="s">
        <v>77</v>
      </c>
      <c r="D333" s="91" t="str">
        <f>Table33[[#This Row],[EVENTO 1 PRESC.]]&amp;" + "&amp;Table33[[#This Row],[EVENTO 2 PRESC.]]</f>
        <v xml:space="preserve"> + </v>
      </c>
      <c r="E333" s="91" t="str">
        <f>Table334[[#This Row],[EVENTO 1 PYP]]&amp;" + "&amp;Table334[[#This Row],[EVENTO 2 PYP]]</f>
        <v xml:space="preserve"> + </v>
      </c>
      <c r="F333" s="91" t="str">
        <f>Table3345[[#This Row],[EVENTO 1 MYP]]&amp;" + "&amp;Table3345[[#This Row],[EVENTO 2 MYP]]</f>
        <v xml:space="preserve"> + </v>
      </c>
      <c r="G333" s="91" t="str">
        <f>Table33456[[#This Row],[EVENTO 1 DP]]&amp;" + "&amp;Table33456[[#This Row],[EVENTO 2 DP]]</f>
        <v xml:space="preserve"> + </v>
      </c>
      <c r="H333" s="91"/>
      <c r="I333" s="92"/>
      <c r="J333" s="92"/>
      <c r="K333" s="21"/>
      <c r="L333" s="27"/>
      <c r="M333" s="5"/>
      <c r="N333" s="5"/>
      <c r="O333" s="29"/>
      <c r="P333" s="29"/>
      <c r="Q333" s="29"/>
      <c r="V333" s="1"/>
    </row>
    <row r="334" spans="1:22" ht="24" x14ac:dyDescent="0.2">
      <c r="A334" s="7">
        <v>46170</v>
      </c>
      <c r="B334" s="33">
        <v>3</v>
      </c>
      <c r="C334" s="6" t="s">
        <v>77</v>
      </c>
      <c r="D334" s="91" t="str">
        <f>Table33[[#This Row],[EVENTO 1 PRESC.]]&amp;" + "&amp;Table33[[#This Row],[EVENTO 2 PRESC.]]</f>
        <v xml:space="preserve"> + </v>
      </c>
      <c r="E334" s="91" t="str">
        <f>Table334[[#This Row],[EVENTO 1 PYP]]&amp;" + "&amp;Table334[[#This Row],[EVENTO 2 PYP]]</f>
        <v xml:space="preserve"> + </v>
      </c>
      <c r="F334" s="91" t="str">
        <f>Table3345[[#This Row],[EVENTO 1 MYP]]&amp;" + "&amp;Table3345[[#This Row],[EVENTO 2 MYP]]</f>
        <v xml:space="preserve"> + </v>
      </c>
      <c r="G334" s="91" t="str">
        <f>Table33456[[#This Row],[EVENTO 1 DP]]&amp;" + "&amp;Table33456[[#This Row],[EVENTO 2 DP]]</f>
        <v xml:space="preserve">Campamento Final 11DP + </v>
      </c>
      <c r="H334" s="91"/>
      <c r="I334" s="92"/>
      <c r="J334" s="92"/>
      <c r="K334" s="21"/>
      <c r="L334" s="27"/>
      <c r="M334" s="5"/>
      <c r="N334" s="5"/>
      <c r="O334" s="29"/>
      <c r="P334" s="29"/>
      <c r="Q334" s="29"/>
      <c r="V334" s="1"/>
    </row>
    <row r="335" spans="1:22" ht="24" x14ac:dyDescent="0.2">
      <c r="A335" s="7">
        <v>46171</v>
      </c>
      <c r="B335" s="33">
        <v>4</v>
      </c>
      <c r="C335" s="6" t="s">
        <v>77</v>
      </c>
      <c r="D335" s="91" t="str">
        <f>Table33[[#This Row],[EVENTO 1 PRESC.]]&amp;" + "&amp;Table33[[#This Row],[EVENTO 2 PRESC.]]</f>
        <v xml:space="preserve"> + </v>
      </c>
      <c r="E335" s="91" t="str">
        <f>Table334[[#This Row],[EVENTO 1 PYP]]&amp;" + "&amp;Table334[[#This Row],[EVENTO 2 PYP]]</f>
        <v xml:space="preserve"> + </v>
      </c>
      <c r="F335" s="91" t="str">
        <f>Table3345[[#This Row],[EVENTO 1 MYP]]&amp;" + "&amp;Table3345[[#This Row],[EVENTO 2 MYP]]</f>
        <v xml:space="preserve"> + </v>
      </c>
      <c r="G335" s="91" t="str">
        <f>Table33456[[#This Row],[EVENTO 1 DP]]&amp;" + "&amp;Table33456[[#This Row],[EVENTO 2 DP]]</f>
        <v xml:space="preserve">Campamento Final 11DP + </v>
      </c>
      <c r="H335" s="91"/>
      <c r="I335" s="92"/>
      <c r="J335" s="92"/>
      <c r="K335" s="21"/>
      <c r="L335" s="27"/>
      <c r="M335" s="5"/>
      <c r="N335" s="5"/>
      <c r="O335" s="29"/>
      <c r="P335" s="29"/>
      <c r="Q335" s="29"/>
      <c r="V335" s="1"/>
    </row>
    <row r="336" spans="1:22" ht="24" x14ac:dyDescent="0.2">
      <c r="A336" s="10">
        <v>46172</v>
      </c>
      <c r="B336" s="23" t="s">
        <v>20</v>
      </c>
      <c r="C336" s="9"/>
      <c r="D336" s="85" t="str">
        <f>Table33[[#This Row],[EVENTO 1 PRESC.]]&amp;" + "&amp;Table33[[#This Row],[EVENTO 2 PRESC.]]</f>
        <v xml:space="preserve"> + </v>
      </c>
      <c r="E336" s="85" t="str">
        <f>Table334[[#This Row],[EVENTO 1 PYP]]&amp;" + "&amp;Table334[[#This Row],[EVENTO 2 PYP]]</f>
        <v xml:space="preserve"> + </v>
      </c>
      <c r="F336" s="85" t="str">
        <f>Table3345[[#This Row],[EVENTO 1 MYP]]&amp;" + "&amp;Table3345[[#This Row],[EVENTO 2 MYP]]</f>
        <v xml:space="preserve"> + </v>
      </c>
      <c r="G336" s="85" t="str">
        <f>Table33456[[#This Row],[EVENTO 1 DP]]&amp;" + "&amp;Table33456[[#This Row],[EVENTO 2 DP]]</f>
        <v xml:space="preserve"> + </v>
      </c>
      <c r="H336" s="85"/>
      <c r="I336" s="88"/>
      <c r="J336" s="88"/>
      <c r="K336" s="20"/>
      <c r="L336" s="26"/>
      <c r="M336" s="8"/>
      <c r="N336" s="8"/>
      <c r="O336" s="29"/>
      <c r="P336" s="29"/>
      <c r="Q336" s="29"/>
      <c r="V336" s="1"/>
    </row>
    <row r="337" spans="1:22" ht="24" x14ac:dyDescent="0.2">
      <c r="A337" s="10">
        <v>46173</v>
      </c>
      <c r="B337" s="23" t="s">
        <v>20</v>
      </c>
      <c r="C337" s="9" t="s">
        <v>113</v>
      </c>
      <c r="D337" s="85" t="str">
        <f>Table33[[#This Row],[EVENTO 1 PRESC.]]&amp;" + "&amp;Table33[[#This Row],[EVENTO 2 PRESC.]]</f>
        <v xml:space="preserve"> + </v>
      </c>
      <c r="E337" s="85" t="str">
        <f>Table334[[#This Row],[EVENTO 1 PYP]]&amp;" + "&amp;Table334[[#This Row],[EVENTO 2 PYP]]</f>
        <v xml:space="preserve"> + </v>
      </c>
      <c r="F337" s="85" t="str">
        <f>Table3345[[#This Row],[EVENTO 1 MYP]]&amp;" + "&amp;Table3345[[#This Row],[EVENTO 2 MYP]]</f>
        <v xml:space="preserve"> + </v>
      </c>
      <c r="G337" s="85" t="str">
        <f>Table33456[[#This Row],[EVENTO 1 DP]]&amp;" + "&amp;Table33456[[#This Row],[EVENTO 2 DP]]</f>
        <v xml:space="preserve"> + </v>
      </c>
      <c r="H337" s="85"/>
      <c r="I337" s="88"/>
      <c r="J337" s="88"/>
      <c r="K337" s="20"/>
      <c r="L337" s="26"/>
      <c r="M337" s="8"/>
      <c r="N337" s="8"/>
      <c r="O337" s="29"/>
      <c r="P337" s="29"/>
      <c r="Q337" s="29"/>
      <c r="V337" s="1"/>
    </row>
    <row r="338" spans="1:22" ht="24" x14ac:dyDescent="0.2">
      <c r="A338" s="7">
        <v>46174</v>
      </c>
      <c r="B338" s="33">
        <v>5</v>
      </c>
      <c r="C338" s="6" t="s">
        <v>77</v>
      </c>
      <c r="D338" s="91" t="str">
        <f>Table33[[#This Row],[EVENTO 1 PRESC.]]&amp;" + "&amp;Table33[[#This Row],[EVENTO 2 PRESC.]]</f>
        <v xml:space="preserve"> + </v>
      </c>
      <c r="E338" s="91" t="str">
        <f>Table334[[#This Row],[EVENTO 1 PYP]]&amp;" + "&amp;Table334[[#This Row],[EVENTO 2 PYP]]</f>
        <v xml:space="preserve"> + </v>
      </c>
      <c r="F338" s="91" t="str">
        <f>Table3345[[#This Row],[EVENTO 1 MYP]]&amp;" + "&amp;Table3345[[#This Row],[EVENTO 2 MYP]]</f>
        <v xml:space="preserve"> + </v>
      </c>
      <c r="G338" s="91" t="str">
        <f>Table33456[[#This Row],[EVENTO 1 DP]]&amp;" + "&amp;Table33456[[#This Row],[EVENTO 2 DP]]</f>
        <v xml:space="preserve"> + </v>
      </c>
      <c r="H338" s="91"/>
      <c r="I338" s="92"/>
      <c r="J338" s="92"/>
      <c r="K338" s="21"/>
      <c r="L338" s="27">
        <f>1+SUM(L329:L335)</f>
        <v>39</v>
      </c>
      <c r="M338" s="5"/>
      <c r="N338" s="5"/>
      <c r="O338" s="29"/>
      <c r="P338" s="29"/>
      <c r="Q338" s="29"/>
      <c r="V338" s="1"/>
    </row>
    <row r="339" spans="1:22" ht="24" x14ac:dyDescent="0.2">
      <c r="A339" s="7">
        <v>46175</v>
      </c>
      <c r="B339" s="33">
        <v>6</v>
      </c>
      <c r="C339" s="6" t="s">
        <v>77</v>
      </c>
      <c r="D339" s="91" t="str">
        <f>Table33[[#This Row],[EVENTO 1 PRESC.]]&amp;" + "&amp;Table33[[#This Row],[EVENTO 2 PRESC.]]</f>
        <v xml:space="preserve"> + </v>
      </c>
      <c r="E339" s="91" t="str">
        <f>Table334[[#This Row],[EVENTO 1 PYP]]&amp;" + "&amp;Table334[[#This Row],[EVENTO 2 PYP]]</f>
        <v xml:space="preserve"> + </v>
      </c>
      <c r="F339" s="91" t="str">
        <f>Table3345[[#This Row],[EVENTO 1 MYP]]&amp;" + "&amp;Table3345[[#This Row],[EVENTO 2 MYP]]</f>
        <v xml:space="preserve">Fecha limite notas + </v>
      </c>
      <c r="G339" s="91" t="str">
        <f>Table33456[[#This Row],[EVENTO 1 DP]]&amp;" + "&amp;Table33456[[#This Row],[EVENTO 2 DP]]</f>
        <v xml:space="preserve"> + </v>
      </c>
      <c r="H339" s="91"/>
      <c r="I339" s="92"/>
      <c r="J339" s="92"/>
      <c r="K339" s="21">
        <v>27</v>
      </c>
      <c r="L339" s="27"/>
      <c r="M339" s="5"/>
      <c r="N339" s="5"/>
      <c r="O339" s="29"/>
      <c r="P339" s="29"/>
      <c r="Q339" s="29"/>
      <c r="V339" s="1"/>
    </row>
    <row r="340" spans="1:22" ht="24" x14ac:dyDescent="0.2">
      <c r="A340" s="7">
        <v>46176</v>
      </c>
      <c r="B340" s="33">
        <v>1</v>
      </c>
      <c r="C340" s="16"/>
      <c r="D340" s="91" t="str">
        <f>Table33[[#This Row],[EVENTO 1 PRESC.]]&amp;" + "&amp;Table33[[#This Row],[EVENTO 2 PRESC.]]</f>
        <v xml:space="preserve"> + </v>
      </c>
      <c r="E340" s="91" t="str">
        <f>Table334[[#This Row],[EVENTO 1 PYP]]&amp;" + "&amp;Table334[[#This Row],[EVENTO 2 PYP]]</f>
        <v xml:space="preserve"> + </v>
      </c>
      <c r="F340" s="91" t="str">
        <f>Table3345[[#This Row],[EVENTO 1 MYP]]&amp;" + "&amp;Table3345[[#This Row],[EVENTO 2 MYP]]</f>
        <v xml:space="preserve">FERIA PROYECTO COMUNITARIO + </v>
      </c>
      <c r="G340" s="91" t="str">
        <f>Table33456[[#This Row],[EVENTO 1 DP]]&amp;" + "&amp;Table33456[[#This Row],[EVENTO 2 DP]]</f>
        <v xml:space="preserve"> + </v>
      </c>
      <c r="H340" s="91"/>
      <c r="I340" s="92"/>
      <c r="J340" s="92"/>
      <c r="K340" s="21"/>
      <c r="L340" s="27"/>
      <c r="M340" s="5"/>
      <c r="N340" s="5"/>
      <c r="O340" s="29"/>
      <c r="P340" s="29"/>
      <c r="Q340" s="29"/>
      <c r="V340" s="1"/>
    </row>
    <row r="341" spans="1:22" ht="24" x14ac:dyDescent="0.2">
      <c r="A341" s="7">
        <v>46177</v>
      </c>
      <c r="B341" s="33">
        <v>2</v>
      </c>
      <c r="C341" s="6"/>
      <c r="D341" s="91" t="str">
        <f>Table33[[#This Row],[EVENTO 1 PRESC.]]&amp;" + "&amp;Table33[[#This Row],[EVENTO 2 PRESC.]]</f>
        <v xml:space="preserve">Grades and Comments on Phidias + </v>
      </c>
      <c r="E341" s="91" t="str">
        <f>Table334[[#This Row],[EVENTO 1 PYP]]&amp;" + "&amp;Table334[[#This Row],[EVENTO 2 PYP]]</f>
        <v xml:space="preserve">Grades and Comments on Phidias + </v>
      </c>
      <c r="F341" s="91" t="str">
        <f>Table3345[[#This Row],[EVENTO 1 MYP]]&amp;" + "&amp;Table3345[[#This Row],[EVENTO 2 MYP]]</f>
        <v xml:space="preserve">Fecha limite comentarios + </v>
      </c>
      <c r="G341" s="91" t="str">
        <f>Table33456[[#This Row],[EVENTO 1 DP]]&amp;" + "&amp;Table33456[[#This Row],[EVENTO 2 DP]]</f>
        <v xml:space="preserve"> + </v>
      </c>
      <c r="H341" s="91"/>
      <c r="I341" s="92"/>
      <c r="J341" s="92"/>
      <c r="K341" s="21"/>
      <c r="L341" s="27"/>
      <c r="M341" s="5"/>
      <c r="N341" s="5"/>
      <c r="O341" s="29"/>
      <c r="P341" s="29"/>
      <c r="Q341" s="29"/>
      <c r="V341" s="1"/>
    </row>
    <row r="342" spans="1:22" ht="24" x14ac:dyDescent="0.2">
      <c r="A342" s="7">
        <v>46178</v>
      </c>
      <c r="B342" s="33">
        <v>3</v>
      </c>
      <c r="C342" s="6"/>
      <c r="D342" s="91" t="str">
        <f>Table33[[#This Row],[EVENTO 1 PRESC.]]&amp;" + "&amp;Table33[[#This Row],[EVENTO 2 PRESC.]]</f>
        <v xml:space="preserve"> + </v>
      </c>
      <c r="E342" s="91" t="str">
        <f>Table334[[#This Row],[EVENTO 1 PYP]]&amp;" + "&amp;Table334[[#This Row],[EVENTO 2 PYP]]</f>
        <v xml:space="preserve"> + </v>
      </c>
      <c r="F342" s="91" t="str">
        <f>Table3345[[#This Row],[EVENTO 1 MYP]]&amp;" + "&amp;Table3345[[#This Row],[EVENTO 2 MYP]]</f>
        <v xml:space="preserve"> + </v>
      </c>
      <c r="G342" s="91" t="str">
        <f>Table33456[[#This Row],[EVENTO 1 DP]]&amp;" + "&amp;Table33456[[#This Row],[EVENTO 2 DP]]</f>
        <v xml:space="preserve"> + </v>
      </c>
      <c r="H342" s="91"/>
      <c r="I342" s="92"/>
      <c r="J342" s="92"/>
      <c r="K342" s="21"/>
      <c r="L342" s="27"/>
      <c r="M342" s="5"/>
      <c r="N342" s="5"/>
      <c r="O342" s="29"/>
      <c r="P342" s="29"/>
      <c r="Q342" s="29"/>
      <c r="V342" s="1"/>
    </row>
    <row r="343" spans="1:22" ht="24" x14ac:dyDescent="0.2">
      <c r="A343" s="10">
        <v>46179</v>
      </c>
      <c r="B343" s="23" t="s">
        <v>20</v>
      </c>
      <c r="C343" s="9"/>
      <c r="D343" s="85" t="str">
        <f>Table33[[#This Row],[EVENTO 1 PRESC.]]&amp;" + "&amp;Table33[[#This Row],[EVENTO 2 PRESC.]]</f>
        <v xml:space="preserve"> + </v>
      </c>
      <c r="E343" s="85" t="str">
        <f>Table334[[#This Row],[EVENTO 1 PYP]]&amp;" + "&amp;Table334[[#This Row],[EVENTO 2 PYP]]</f>
        <v xml:space="preserve"> + </v>
      </c>
      <c r="F343" s="85" t="str">
        <f>Table3345[[#This Row],[EVENTO 1 MYP]]&amp;" + "&amp;Table3345[[#This Row],[EVENTO 2 MYP]]</f>
        <v xml:space="preserve"> + </v>
      </c>
      <c r="G343" s="85" t="str">
        <f>Table33456[[#This Row],[EVENTO 1 DP]]&amp;" + "&amp;Table33456[[#This Row],[EVENTO 2 DP]]</f>
        <v xml:space="preserve"> + </v>
      </c>
      <c r="H343" s="85"/>
      <c r="I343" s="88"/>
      <c r="J343" s="88"/>
      <c r="K343" s="20"/>
      <c r="L343" s="26"/>
      <c r="M343" s="8"/>
      <c r="N343" s="8"/>
      <c r="O343" s="29"/>
      <c r="P343" s="29"/>
      <c r="Q343" s="29"/>
      <c r="V343" s="1"/>
    </row>
    <row r="344" spans="1:22" ht="24" x14ac:dyDescent="0.2">
      <c r="A344" s="10">
        <v>46180</v>
      </c>
      <c r="B344" s="23" t="s">
        <v>20</v>
      </c>
      <c r="C344" s="9"/>
      <c r="D344" s="85" t="str">
        <f>Table33[[#This Row],[EVENTO 1 PRESC.]]&amp;" + "&amp;Table33[[#This Row],[EVENTO 2 PRESC.]]</f>
        <v xml:space="preserve"> + </v>
      </c>
      <c r="E344" s="85" t="str">
        <f>Table334[[#This Row],[EVENTO 1 PYP]]&amp;" + "&amp;Table334[[#This Row],[EVENTO 2 PYP]]</f>
        <v xml:space="preserve"> + </v>
      </c>
      <c r="F344" s="85" t="str">
        <f>Table3345[[#This Row],[EVENTO 1 MYP]]&amp;" + "&amp;Table3345[[#This Row],[EVENTO 2 MYP]]</f>
        <v xml:space="preserve"> + </v>
      </c>
      <c r="G344" s="85" t="str">
        <f>Table33456[[#This Row],[EVENTO 1 DP]]&amp;" + "&amp;Table33456[[#This Row],[EVENTO 2 DP]]</f>
        <v xml:space="preserve"> + </v>
      </c>
      <c r="H344" s="85"/>
      <c r="I344" s="88"/>
      <c r="J344" s="88"/>
      <c r="K344" s="20"/>
      <c r="L344" s="26"/>
      <c r="M344" s="8"/>
      <c r="N344" s="8"/>
      <c r="O344" s="29"/>
      <c r="P344" s="29"/>
      <c r="Q344" s="29"/>
      <c r="V344" s="1"/>
    </row>
    <row r="345" spans="1:22" ht="24" x14ac:dyDescent="0.2">
      <c r="A345" s="10">
        <v>46181</v>
      </c>
      <c r="B345" s="23" t="s">
        <v>17</v>
      </c>
      <c r="C345" s="9"/>
      <c r="D345" s="85" t="str">
        <f>Table33[[#This Row],[EVENTO 1 PRESC.]]&amp;" + "&amp;Table33[[#This Row],[EVENTO 2 PRESC.]]</f>
        <v xml:space="preserve"> + </v>
      </c>
      <c r="E345" s="85" t="str">
        <f>Table334[[#This Row],[EVENTO 1 PYP]]&amp;" + "&amp;Table334[[#This Row],[EVENTO 2 PYP]]</f>
        <v xml:space="preserve"> + </v>
      </c>
      <c r="F345" s="85" t="str">
        <f>Table3345[[#This Row],[EVENTO 1 MYP]]&amp;" + "&amp;Table3345[[#This Row],[EVENTO 2 MYP]]</f>
        <v xml:space="preserve"> + </v>
      </c>
      <c r="G345" s="85" t="str">
        <f>Table33456[[#This Row],[EVENTO 1 DP]]&amp;" + "&amp;Table33456[[#This Row],[EVENTO 2 DP]]</f>
        <v xml:space="preserve"> + </v>
      </c>
      <c r="H345" s="85"/>
      <c r="I345" s="88"/>
      <c r="J345" s="88"/>
      <c r="K345" s="20"/>
      <c r="L345" s="26"/>
      <c r="M345" s="8"/>
      <c r="N345" s="8"/>
      <c r="O345" s="29"/>
      <c r="P345" s="29"/>
      <c r="Q345" s="29"/>
      <c r="V345" s="1"/>
    </row>
    <row r="346" spans="1:22" ht="24" x14ac:dyDescent="0.2">
      <c r="A346" s="17">
        <v>46182</v>
      </c>
      <c r="B346" s="25" t="s">
        <v>114</v>
      </c>
      <c r="C346" s="52" t="s">
        <v>115</v>
      </c>
      <c r="D346" s="97" t="str">
        <f>Table33[[#This Row],[EVENTO 1 PRESC.]]&amp;" + "&amp;Table33[[#This Row],[EVENTO 2 PRESC.]]</f>
        <v xml:space="preserve"> + </v>
      </c>
      <c r="E346" s="97" t="str">
        <f>Table334[[#This Row],[EVENTO 1 PYP]]&amp;" + "&amp;Table334[[#This Row],[EVENTO 2 PYP]]</f>
        <v xml:space="preserve"> + </v>
      </c>
      <c r="F346" s="97" t="str">
        <f>Table3345[[#This Row],[EVENTO 1 MYP]]&amp;" + "&amp;Table3345[[#This Row],[EVENTO 2 MYP]]</f>
        <v xml:space="preserve"> + </v>
      </c>
      <c r="G346" s="97" t="str">
        <f>Table33456[[#This Row],[EVENTO 1 DP]]&amp;" + "&amp;Table33456[[#This Row],[EVENTO 2 DP]]</f>
        <v xml:space="preserve"> + </v>
      </c>
      <c r="H346" s="97"/>
      <c r="I346" s="98"/>
      <c r="J346" s="98"/>
      <c r="K346" s="22"/>
      <c r="L346" s="28">
        <f>1+SUM(L337:L343)</f>
        <v>40</v>
      </c>
      <c r="M346" s="19"/>
      <c r="N346" s="19"/>
      <c r="O346" s="32"/>
      <c r="P346" s="32"/>
      <c r="Q346" s="32"/>
      <c r="V346" s="1"/>
    </row>
    <row r="347" spans="1:22" ht="24" x14ac:dyDescent="0.2">
      <c r="A347" s="7">
        <v>46183</v>
      </c>
      <c r="B347" s="33">
        <v>4</v>
      </c>
      <c r="C347" s="16"/>
      <c r="D347" s="91" t="str">
        <f>Table33[[#This Row],[EVENTO 1 PRESC.]]&amp;" + "&amp;Table33[[#This Row],[EVENTO 2 PRESC.]]</f>
        <v xml:space="preserve"> + </v>
      </c>
      <c r="E347" s="91" t="str">
        <f>Table334[[#This Row],[EVENTO 1 PYP]]&amp;" + "&amp;Table334[[#This Row],[EVENTO 2 PYP]]</f>
        <v xml:space="preserve"> + </v>
      </c>
      <c r="F347" s="91" t="str">
        <f>Table3345[[#This Row],[EVENTO 1 MYP]]&amp;" + "&amp;Table3345[[#This Row],[EVENTO 2 MYP]]</f>
        <v xml:space="preserve"> + </v>
      </c>
      <c r="G347" s="91" t="str">
        <f>Table33456[[#This Row],[EVENTO 1 DP]]&amp;" + "&amp;Table33456[[#This Row],[EVENTO 2 DP]]</f>
        <v xml:space="preserve"> + </v>
      </c>
      <c r="H347" s="91"/>
      <c r="I347" s="92"/>
      <c r="J347" s="92"/>
      <c r="K347" s="21"/>
      <c r="L347" s="27"/>
      <c r="M347" s="5"/>
      <c r="N347" s="5"/>
      <c r="O347" s="29"/>
      <c r="P347" s="29"/>
      <c r="Q347" s="29"/>
      <c r="V347" s="1"/>
    </row>
    <row r="348" spans="1:22" ht="48" x14ac:dyDescent="0.2">
      <c r="A348" s="7">
        <v>46184</v>
      </c>
      <c r="B348" s="33">
        <v>5</v>
      </c>
      <c r="C348" s="16" t="s">
        <v>116</v>
      </c>
      <c r="D348" s="91" t="str">
        <f>Table33[[#This Row],[EVENTO 1 PRESC.]]&amp;" + "&amp;Table33[[#This Row],[EVENTO 2 PRESC.]]</f>
        <v xml:space="preserve"> + </v>
      </c>
      <c r="E348" s="91" t="str">
        <f>Table334[[#This Row],[EVENTO 1 PYP]]&amp;" + "&amp;Table334[[#This Row],[EVENTO 2 PYP]]</f>
        <v xml:space="preserve"> + </v>
      </c>
      <c r="F348" s="91" t="str">
        <f>Table3345[[#This Row],[EVENTO 1 MYP]]&amp;" + "&amp;Table3345[[#This Row],[EVENTO 2 MYP]]</f>
        <v xml:space="preserve">Preparación de entrega de informes tripartita /Emisión de informes académicos + </v>
      </c>
      <c r="G348" s="91" t="str">
        <f>Table33456[[#This Row],[EVENTO 1 DP]]&amp;" + "&amp;Table33456[[#This Row],[EVENTO 2 DP]]</f>
        <v xml:space="preserve"> + </v>
      </c>
      <c r="H348" s="91"/>
      <c r="I348" s="92"/>
      <c r="J348" s="92"/>
      <c r="K348" s="21">
        <v>28</v>
      </c>
      <c r="L348" s="27"/>
      <c r="M348" s="5"/>
      <c r="N348" s="5"/>
      <c r="O348" s="29"/>
      <c r="P348" s="29"/>
      <c r="Q348" s="29"/>
      <c r="V348" s="1"/>
    </row>
    <row r="349" spans="1:22" ht="32" x14ac:dyDescent="0.2">
      <c r="A349" s="37">
        <v>46185</v>
      </c>
      <c r="B349" s="44">
        <v>6</v>
      </c>
      <c r="C349" s="39" t="s">
        <v>117</v>
      </c>
      <c r="D349" s="95" t="str">
        <f>Table33[[#This Row],[EVENTO 1 PRESC.]]&amp;" + "&amp;Table33[[#This Row],[EVENTO 2 PRESC.]]</f>
        <v xml:space="preserve">INQUIRY FAIR + LITERARY MILKSHAKE + </v>
      </c>
      <c r="E349" s="95" t="str">
        <f>Table334[[#This Row],[EVENTO 1 PYP]]&amp;" + "&amp;Table334[[#This Row],[EVENTO 2 PYP]]</f>
        <v xml:space="preserve">LITERARY MILKSHAKE + </v>
      </c>
      <c r="F349" s="95" t="str">
        <f>Table3345[[#This Row],[EVENTO 1 MYP]]&amp;" + "&amp;Table3345[[#This Row],[EVENTO 2 MYP]]</f>
        <v xml:space="preserve"> + </v>
      </c>
      <c r="G349" s="95" t="str">
        <f>Table33456[[#This Row],[EVENTO 1 DP]]&amp;" + "&amp;Table33456[[#This Row],[EVENTO 2 DP]]</f>
        <v xml:space="preserve"> + </v>
      </c>
      <c r="H349" s="95"/>
      <c r="I349" s="96"/>
      <c r="J349" s="96"/>
      <c r="K349" s="40"/>
      <c r="L349" s="41"/>
      <c r="M349" s="42"/>
      <c r="N349" s="42"/>
      <c r="O349" s="43"/>
      <c r="P349" s="43"/>
      <c r="Q349" s="43" t="s">
        <v>118</v>
      </c>
      <c r="V349" s="1"/>
    </row>
    <row r="350" spans="1:22" ht="24" x14ac:dyDescent="0.2">
      <c r="A350" s="10">
        <v>46186</v>
      </c>
      <c r="B350" s="23" t="s">
        <v>20</v>
      </c>
      <c r="C350" s="9"/>
      <c r="D350" s="85" t="str">
        <f>Table33[[#This Row],[EVENTO 1 PRESC.]]&amp;" + "&amp;Table33[[#This Row],[EVENTO 2 PRESC.]]</f>
        <v xml:space="preserve"> + </v>
      </c>
      <c r="E350" s="85" t="str">
        <f>Table334[[#This Row],[EVENTO 1 PYP]]&amp;" + "&amp;Table334[[#This Row],[EVENTO 2 PYP]]</f>
        <v xml:space="preserve"> + </v>
      </c>
      <c r="F350" s="85" t="str">
        <f>Table3345[[#This Row],[EVENTO 1 MYP]]&amp;" + "&amp;Table3345[[#This Row],[EVENTO 2 MYP]]</f>
        <v xml:space="preserve"> + </v>
      </c>
      <c r="G350" s="85" t="str">
        <f>Table33456[[#This Row],[EVENTO 1 DP]]&amp;" + "&amp;Table33456[[#This Row],[EVENTO 2 DP]]</f>
        <v xml:space="preserve"> + </v>
      </c>
      <c r="H350" s="85"/>
      <c r="I350" s="88"/>
      <c r="J350" s="88"/>
      <c r="K350" s="20"/>
      <c r="L350" s="26"/>
      <c r="M350" s="8"/>
      <c r="N350" s="8"/>
      <c r="O350" s="29"/>
      <c r="P350" s="29"/>
      <c r="Q350" s="29"/>
      <c r="V350" s="1"/>
    </row>
    <row r="351" spans="1:22" ht="24" x14ac:dyDescent="0.2">
      <c r="A351" s="10">
        <v>46187</v>
      </c>
      <c r="B351" s="23" t="s">
        <v>20</v>
      </c>
      <c r="C351" s="9"/>
      <c r="D351" s="85" t="str">
        <f>Table33[[#This Row],[EVENTO 1 PRESC.]]&amp;" + "&amp;Table33[[#This Row],[EVENTO 2 PRESC.]]</f>
        <v xml:space="preserve"> + </v>
      </c>
      <c r="E351" s="85" t="str">
        <f>Table334[[#This Row],[EVENTO 1 PYP]]&amp;" + "&amp;Table334[[#This Row],[EVENTO 2 PYP]]</f>
        <v xml:space="preserve"> + </v>
      </c>
      <c r="F351" s="85" t="str">
        <f>Table3345[[#This Row],[EVENTO 1 MYP]]&amp;" + "&amp;Table3345[[#This Row],[EVENTO 2 MYP]]</f>
        <v xml:space="preserve"> + </v>
      </c>
      <c r="G351" s="85" t="str">
        <f>Table33456[[#This Row],[EVENTO 1 DP]]&amp;" + "&amp;Table33456[[#This Row],[EVENTO 2 DP]]</f>
        <v xml:space="preserve"> + </v>
      </c>
      <c r="H351" s="85"/>
      <c r="I351" s="88"/>
      <c r="J351" s="88"/>
      <c r="K351" s="20"/>
      <c r="L351" s="26"/>
      <c r="M351" s="8"/>
      <c r="N351" s="8"/>
      <c r="O351" s="29"/>
      <c r="P351" s="29"/>
      <c r="Q351" s="29"/>
      <c r="V351" s="1"/>
    </row>
    <row r="352" spans="1:22" ht="24" x14ac:dyDescent="0.2">
      <c r="A352" s="10">
        <v>46188</v>
      </c>
      <c r="B352" s="23" t="s">
        <v>17</v>
      </c>
      <c r="C352" s="9"/>
      <c r="D352" s="85" t="str">
        <f>Table33[[#This Row],[EVENTO 1 PRESC.]]&amp;" + "&amp;Table33[[#This Row],[EVENTO 2 PRESC.]]</f>
        <v xml:space="preserve"> + </v>
      </c>
      <c r="E352" s="85" t="str">
        <f>Table334[[#This Row],[EVENTO 1 PYP]]&amp;" + "&amp;Table334[[#This Row],[EVENTO 2 PYP]]</f>
        <v xml:space="preserve"> + </v>
      </c>
      <c r="F352" s="85" t="str">
        <f>Table3345[[#This Row],[EVENTO 1 MYP]]&amp;" + "&amp;Table3345[[#This Row],[EVENTO 2 MYP]]</f>
        <v xml:space="preserve"> + </v>
      </c>
      <c r="G352" s="85" t="str">
        <f>Table33456[[#This Row],[EVENTO 1 DP]]&amp;" + "&amp;Table33456[[#This Row],[EVENTO 2 DP]]</f>
        <v xml:space="preserve"> + </v>
      </c>
      <c r="H352" s="85"/>
      <c r="I352" s="88"/>
      <c r="J352" s="88"/>
      <c r="K352" s="20"/>
      <c r="L352" s="26"/>
      <c r="M352" s="8"/>
      <c r="N352" s="8"/>
      <c r="O352" s="29"/>
      <c r="P352" s="29"/>
      <c r="Q352" s="29"/>
      <c r="V352" s="1"/>
    </row>
    <row r="353" spans="1:22" ht="24" x14ac:dyDescent="0.2">
      <c r="A353" s="46">
        <v>46189</v>
      </c>
      <c r="B353" s="47" t="s">
        <v>51</v>
      </c>
      <c r="C353" s="45" t="s">
        <v>119</v>
      </c>
      <c r="D353" s="99" t="str">
        <f>Table33[[#This Row],[EVENTO 1 PRESC.]]&amp;" + "&amp;Table33[[#This Row],[EVENTO 2 PRESC.]]</f>
        <v xml:space="preserve">ENTREGA DE NOTAS + </v>
      </c>
      <c r="E353" s="99" t="str">
        <f>Table334[[#This Row],[EVENTO 1 PYP]]&amp;" + "&amp;Table334[[#This Row],[EVENTO 2 PYP]]</f>
        <v xml:space="preserve">ENTREGA DE NOTAS + </v>
      </c>
      <c r="F353" s="99" t="str">
        <f>Table3345[[#This Row],[EVENTO 1 MYP]]&amp;" + "&amp;Table3345[[#This Row],[EVENTO 2 MYP]]</f>
        <v xml:space="preserve"> + </v>
      </c>
      <c r="G353" s="99" t="str">
        <f>Table33456[[#This Row],[EVENTO 1 DP]]&amp;" + "&amp;Table33456[[#This Row],[EVENTO 2 DP]]</f>
        <v xml:space="preserve"> + </v>
      </c>
      <c r="H353" s="99"/>
      <c r="I353" s="100"/>
      <c r="J353" s="100"/>
      <c r="K353" s="48"/>
      <c r="L353" s="49"/>
      <c r="M353" s="50"/>
      <c r="N353" s="50"/>
      <c r="O353" s="51"/>
      <c r="P353" s="51"/>
      <c r="Q353" s="51" t="s">
        <v>120</v>
      </c>
      <c r="V353" s="1"/>
    </row>
    <row r="354" spans="1:22" ht="24" x14ac:dyDescent="0.2">
      <c r="A354" s="7">
        <v>46190</v>
      </c>
      <c r="B354" s="24" t="s">
        <v>23</v>
      </c>
      <c r="C354" s="6" t="s">
        <v>121</v>
      </c>
      <c r="D354" s="91" t="str">
        <f>Table33[[#This Row],[EVENTO 1 PRESC.]]&amp;" + "&amp;Table33[[#This Row],[EVENTO 2 PRESC.]]</f>
        <v xml:space="preserve">Entregas Especiales IIII Bim - Final + </v>
      </c>
      <c r="E354" s="91" t="str">
        <f>Table334[[#This Row],[EVENTO 1 PYP]]&amp;" + "&amp;Table334[[#This Row],[EVENTO 2 PYP]]</f>
        <v xml:space="preserve">Entregas Especiales IIII Bim - Final + </v>
      </c>
      <c r="F354" s="91" t="str">
        <f>Table3345[[#This Row],[EVENTO 1 MYP]]&amp;" + "&amp;Table3345[[#This Row],[EVENTO 2 MYP]]</f>
        <v xml:space="preserve"> + </v>
      </c>
      <c r="G354" s="91" t="str">
        <f>Table33456[[#This Row],[EVENTO 1 DP]]&amp;" + "&amp;Table33456[[#This Row],[EVENTO 2 DP]]</f>
        <v xml:space="preserve"> + </v>
      </c>
      <c r="H354" s="91"/>
      <c r="I354" s="92"/>
      <c r="J354" s="92"/>
      <c r="K354" s="21"/>
      <c r="L354" s="27"/>
      <c r="M354" s="5"/>
      <c r="N354" s="5"/>
      <c r="O354" s="29" t="s">
        <v>122</v>
      </c>
      <c r="P354" s="29" t="s">
        <v>123</v>
      </c>
      <c r="Q354" s="29" t="s">
        <v>120</v>
      </c>
      <c r="V354" s="1"/>
    </row>
    <row r="355" spans="1:22" ht="24" x14ac:dyDescent="0.2">
      <c r="A355" s="7">
        <v>46191</v>
      </c>
      <c r="B355" s="24" t="s">
        <v>23</v>
      </c>
      <c r="C355" s="53" t="s">
        <v>124</v>
      </c>
      <c r="D355" s="89" t="str">
        <f>Table33[[#This Row],[EVENTO 1 PRESC.]]&amp;" + "&amp;Table33[[#This Row],[EVENTO 2 PRESC.]]</f>
        <v xml:space="preserve">Entregas Especiales IIII Bim - Final + </v>
      </c>
      <c r="E355" s="89" t="str">
        <f>Table334[[#This Row],[EVENTO 1 PYP]]&amp;" + "&amp;Table334[[#This Row],[EVENTO 2 PYP]]</f>
        <v xml:space="preserve">Entregas Especiales IIII Bim - Final + </v>
      </c>
      <c r="F355" s="89" t="str">
        <f>Table3345[[#This Row],[EVENTO 1 MYP]]&amp;" + "&amp;Table3345[[#This Row],[EVENTO 2 MYP]]</f>
        <v xml:space="preserve"> + </v>
      </c>
      <c r="G355" s="89" t="str">
        <f>Table33456[[#This Row],[EVENTO 1 DP]]&amp;" + "&amp;Table33456[[#This Row],[EVENTO 2 DP]]</f>
        <v xml:space="preserve"> + </v>
      </c>
      <c r="H355" s="89"/>
      <c r="I355" s="90"/>
      <c r="J355" s="90"/>
      <c r="K355" s="21"/>
      <c r="L355" s="27"/>
      <c r="M355" s="5"/>
      <c r="N355" s="5"/>
      <c r="O355" s="29"/>
      <c r="P355" s="29" t="s">
        <v>125</v>
      </c>
      <c r="Q355" s="29" t="s">
        <v>120</v>
      </c>
      <c r="V355" s="1"/>
    </row>
    <row r="356" spans="1:22" ht="24" x14ac:dyDescent="0.2">
      <c r="A356" s="7">
        <v>46192</v>
      </c>
      <c r="B356" s="24" t="s">
        <v>23</v>
      </c>
      <c r="C356" s="53" t="s">
        <v>126</v>
      </c>
      <c r="D356" s="89" t="str">
        <f>Table33[[#This Row],[EVENTO 1 PRESC.]]&amp;" + "&amp;Table33[[#This Row],[EVENTO 2 PRESC.]]</f>
        <v xml:space="preserve"> + </v>
      </c>
      <c r="E356" s="89" t="str">
        <f>Table334[[#This Row],[EVENTO 1 PYP]]&amp;" + "&amp;Table334[[#This Row],[EVENTO 2 PYP]]</f>
        <v xml:space="preserve"> + </v>
      </c>
      <c r="F356" s="89" t="str">
        <f>Table3345[[#This Row],[EVENTO 1 MYP]]&amp;" + "&amp;Table3345[[#This Row],[EVENTO 2 MYP]]</f>
        <v xml:space="preserve"> + </v>
      </c>
      <c r="G356" s="89" t="str">
        <f>Table33456[[#This Row],[EVENTO 1 DP]]&amp;" + "&amp;Table33456[[#This Row],[EVENTO 2 DP]]</f>
        <v xml:space="preserve"> + </v>
      </c>
      <c r="H356" s="89"/>
      <c r="I356" s="90"/>
      <c r="J356" s="90"/>
      <c r="K356" s="21"/>
      <c r="L356" s="27"/>
      <c r="M356" s="5"/>
      <c r="N356" s="5"/>
      <c r="O356" s="29"/>
      <c r="P356" s="29" t="s">
        <v>127</v>
      </c>
      <c r="Q356" s="29" t="s">
        <v>120</v>
      </c>
      <c r="V356" s="1"/>
    </row>
    <row r="357" spans="1:22" ht="24" x14ac:dyDescent="0.2">
      <c r="A357" s="10">
        <v>46193</v>
      </c>
      <c r="B357" s="23" t="s">
        <v>20</v>
      </c>
      <c r="C357" s="9"/>
      <c r="D357" s="85" t="str">
        <f>Table33[[#This Row],[EVENTO 1 PRESC.]]&amp;" + "&amp;Table33[[#This Row],[EVENTO 2 PRESC.]]</f>
        <v xml:space="preserve"> + </v>
      </c>
      <c r="E357" s="85" t="str">
        <f>Table334[[#This Row],[EVENTO 1 PYP]]&amp;" + "&amp;Table334[[#This Row],[EVENTO 2 PYP]]</f>
        <v xml:space="preserve"> + </v>
      </c>
      <c r="F357" s="85" t="str">
        <f>Table3345[[#This Row],[EVENTO 1 MYP]]&amp;" + "&amp;Table3345[[#This Row],[EVENTO 2 MYP]]</f>
        <v xml:space="preserve"> + </v>
      </c>
      <c r="G357" s="85" t="str">
        <f>Table33456[[#This Row],[EVENTO 1 DP]]&amp;" + "&amp;Table33456[[#This Row],[EVENTO 2 DP]]</f>
        <v xml:space="preserve"> + </v>
      </c>
      <c r="H357" s="85"/>
      <c r="I357" s="88"/>
      <c r="J357" s="88"/>
      <c r="K357" s="20"/>
      <c r="L357" s="26"/>
      <c r="M357" s="8"/>
      <c r="N357" s="8"/>
      <c r="O357" s="29"/>
      <c r="P357" s="29"/>
      <c r="Q357" s="29"/>
      <c r="V357" s="1"/>
    </row>
    <row r="358" spans="1:22" ht="24" x14ac:dyDescent="0.2">
      <c r="A358" s="10">
        <v>46194</v>
      </c>
      <c r="B358" s="23" t="s">
        <v>20</v>
      </c>
      <c r="C358" s="9"/>
      <c r="D358" s="85" t="str">
        <f>Table33[[#This Row],[EVENTO 1 PRESC.]]&amp;" + "&amp;Table33[[#This Row],[EVENTO 2 PRESC.]]</f>
        <v xml:space="preserve"> + </v>
      </c>
      <c r="E358" s="85" t="str">
        <f>Table334[[#This Row],[EVENTO 1 PYP]]&amp;" + "&amp;Table334[[#This Row],[EVENTO 2 PYP]]</f>
        <v xml:space="preserve"> + </v>
      </c>
      <c r="F358" s="85" t="str">
        <f>Table3345[[#This Row],[EVENTO 1 MYP]]&amp;" + "&amp;Table3345[[#This Row],[EVENTO 2 MYP]]</f>
        <v xml:space="preserve"> + </v>
      </c>
      <c r="G358" s="85" t="str">
        <f>Table33456[[#This Row],[EVENTO 1 DP]]&amp;" + "&amp;Table33456[[#This Row],[EVENTO 2 DP]]</f>
        <v xml:space="preserve"> + </v>
      </c>
      <c r="H358" s="85"/>
      <c r="I358" s="88"/>
      <c r="J358" s="88"/>
      <c r="K358" s="20"/>
      <c r="L358" s="26"/>
      <c r="M358" s="8"/>
      <c r="N358" s="8"/>
      <c r="O358" s="29"/>
      <c r="P358" s="29"/>
      <c r="Q358" s="29"/>
      <c r="V358" s="1"/>
    </row>
    <row r="359" spans="1:22" ht="24" x14ac:dyDescent="0.2">
      <c r="A359" s="7">
        <v>46195</v>
      </c>
      <c r="B359" s="24" t="s">
        <v>23</v>
      </c>
      <c r="C359" s="6" t="s">
        <v>124</v>
      </c>
      <c r="D359" s="91" t="str">
        <f>Table33[[#This Row],[EVENTO 1 PRESC.]]&amp;" + "&amp;Table33[[#This Row],[EVENTO 2 PRESC.]]</f>
        <v xml:space="preserve"> + </v>
      </c>
      <c r="E359" s="91" t="str">
        <f>Table334[[#This Row],[EVENTO 1 PYP]]&amp;" + "&amp;Table334[[#This Row],[EVENTO 2 PYP]]</f>
        <v xml:space="preserve"> + </v>
      </c>
      <c r="F359" s="91" t="str">
        <f>Table3345[[#This Row],[EVENTO 1 MYP]]&amp;" + "&amp;Table3345[[#This Row],[EVENTO 2 MYP]]</f>
        <v xml:space="preserve"> + </v>
      </c>
      <c r="G359" s="91" t="str">
        <f>Table33456[[#This Row],[EVENTO 1 DP]]&amp;" + "&amp;Table33456[[#This Row],[EVENTO 2 DP]]</f>
        <v xml:space="preserve"> + </v>
      </c>
      <c r="H359" s="91"/>
      <c r="I359" s="92"/>
      <c r="J359" s="92"/>
      <c r="K359" s="21"/>
      <c r="L359" s="27"/>
      <c r="M359" s="5"/>
      <c r="N359" s="5"/>
      <c r="O359" s="29"/>
      <c r="P359" s="29"/>
      <c r="Q359" s="29"/>
      <c r="V359" s="1"/>
    </row>
    <row r="360" spans="1:22" ht="24" x14ac:dyDescent="0.2">
      <c r="A360" s="7">
        <v>46196</v>
      </c>
      <c r="B360" s="24" t="s">
        <v>23</v>
      </c>
      <c r="C360" s="6" t="s">
        <v>124</v>
      </c>
      <c r="D360" s="91" t="str">
        <f>Table33[[#This Row],[EVENTO 1 PRESC.]]&amp;" + "&amp;Table33[[#This Row],[EVENTO 2 PRESC.]]</f>
        <v xml:space="preserve"> + </v>
      </c>
      <c r="E360" s="91" t="str">
        <f>Table334[[#This Row],[EVENTO 1 PYP]]&amp;" + "&amp;Table334[[#This Row],[EVENTO 2 PYP]]</f>
        <v xml:space="preserve"> + </v>
      </c>
      <c r="F360" s="91" t="str">
        <f>Table3345[[#This Row],[EVENTO 1 MYP]]&amp;" + "&amp;Table3345[[#This Row],[EVENTO 2 MYP]]</f>
        <v xml:space="preserve"> + </v>
      </c>
      <c r="G360" s="91" t="str">
        <f>Table33456[[#This Row],[EVENTO 1 DP]]&amp;" + "&amp;Table33456[[#This Row],[EVENTO 2 DP]]</f>
        <v xml:space="preserve"> + </v>
      </c>
      <c r="H360" s="91"/>
      <c r="I360" s="92"/>
      <c r="J360" s="92"/>
      <c r="K360" s="21"/>
      <c r="L360" s="27"/>
      <c r="M360" s="5"/>
      <c r="N360" s="5"/>
      <c r="O360" s="29" t="s">
        <v>128</v>
      </c>
      <c r="P360" s="29"/>
      <c r="Q360" s="29"/>
      <c r="V360" s="1"/>
    </row>
    <row r="361" spans="1:22" ht="24" x14ac:dyDescent="0.2">
      <c r="A361" s="7">
        <v>46197</v>
      </c>
      <c r="B361" s="24" t="s">
        <v>23</v>
      </c>
      <c r="C361" s="6" t="s">
        <v>124</v>
      </c>
      <c r="D361" s="91" t="str">
        <f>Table33[[#This Row],[EVENTO 1 PRESC.]]&amp;" + "&amp;Table33[[#This Row],[EVENTO 2 PRESC.]]</f>
        <v xml:space="preserve"> + </v>
      </c>
      <c r="E361" s="91" t="str">
        <f>Table334[[#This Row],[EVENTO 1 PYP]]&amp;" + "&amp;Table334[[#This Row],[EVENTO 2 PYP]]</f>
        <v xml:space="preserve"> + </v>
      </c>
      <c r="F361" s="91" t="str">
        <f>Table3345[[#This Row],[EVENTO 1 MYP]]&amp;" + "&amp;Table3345[[#This Row],[EVENTO 2 MYP]]</f>
        <v xml:space="preserve"> + </v>
      </c>
      <c r="G361" s="91" t="str">
        <f>Table33456[[#This Row],[EVENTO 1 DP]]&amp;" + "&amp;Table33456[[#This Row],[EVENTO 2 DP]]</f>
        <v xml:space="preserve"> + </v>
      </c>
      <c r="H361" s="91"/>
      <c r="I361" s="92"/>
      <c r="J361" s="92"/>
      <c r="K361" s="21"/>
      <c r="L361" s="27"/>
      <c r="M361" s="5"/>
      <c r="N361" s="5"/>
      <c r="O361" s="29" t="s">
        <v>129</v>
      </c>
      <c r="P361" s="29"/>
      <c r="Q361" s="29"/>
      <c r="V361" s="1"/>
    </row>
    <row r="362" spans="1:22" ht="24" x14ac:dyDescent="0.2">
      <c r="A362" s="7">
        <v>46198</v>
      </c>
      <c r="B362" s="24" t="s">
        <v>23</v>
      </c>
      <c r="C362" s="6" t="s">
        <v>124</v>
      </c>
      <c r="D362" s="91" t="str">
        <f>Table33[[#This Row],[EVENTO 1 PRESC.]]&amp;" + "&amp;Table33[[#This Row],[EVENTO 2 PRESC.]]</f>
        <v xml:space="preserve"> + </v>
      </c>
      <c r="E362" s="91" t="str">
        <f>Table334[[#This Row],[EVENTO 1 PYP]]&amp;" + "&amp;Table334[[#This Row],[EVENTO 2 PYP]]</f>
        <v xml:space="preserve"> + </v>
      </c>
      <c r="F362" s="91" t="str">
        <f>Table3345[[#This Row],[EVENTO 1 MYP]]&amp;" + "&amp;Table3345[[#This Row],[EVENTO 2 MYP]]</f>
        <v xml:space="preserve"> + </v>
      </c>
      <c r="G362" s="91" t="str">
        <f>Table33456[[#This Row],[EVENTO 1 DP]]&amp;" + "&amp;Table33456[[#This Row],[EVENTO 2 DP]]</f>
        <v xml:space="preserve"> + </v>
      </c>
      <c r="H362" s="91"/>
      <c r="I362" s="92"/>
      <c r="J362" s="92"/>
      <c r="K362" s="21"/>
      <c r="L362" s="27"/>
      <c r="M362" s="5"/>
      <c r="N362" s="5"/>
      <c r="O362" s="29"/>
      <c r="P362" s="29"/>
      <c r="Q362" s="29"/>
      <c r="V362" s="1"/>
    </row>
    <row r="363" spans="1:22" ht="24" x14ac:dyDescent="0.2">
      <c r="A363" s="7">
        <v>46199</v>
      </c>
      <c r="B363" s="24" t="s">
        <v>23</v>
      </c>
      <c r="C363" s="16" t="s">
        <v>130</v>
      </c>
      <c r="D363" s="91" t="str">
        <f>Table33[[#This Row],[EVENTO 1 PRESC.]]&amp;" + "&amp;Table33[[#This Row],[EVENTO 2 PRESC.]]</f>
        <v xml:space="preserve"> + </v>
      </c>
      <c r="E363" s="91" t="str">
        <f>Table334[[#This Row],[EVENTO 1 PYP]]&amp;" + "&amp;Table334[[#This Row],[EVENTO 2 PYP]]</f>
        <v xml:space="preserve"> + </v>
      </c>
      <c r="F363" s="91" t="str">
        <f>Table3345[[#This Row],[EVENTO 1 MYP]]&amp;" + "&amp;Table3345[[#This Row],[EVENTO 2 MYP]]</f>
        <v xml:space="preserve"> + </v>
      </c>
      <c r="G363" s="91" t="str">
        <f>Table33456[[#This Row],[EVENTO 1 DP]]&amp;" + "&amp;Table33456[[#This Row],[EVENTO 2 DP]]</f>
        <v xml:space="preserve"> + </v>
      </c>
      <c r="H363" s="91"/>
      <c r="I363" s="92"/>
      <c r="J363" s="92"/>
      <c r="K363" s="21"/>
      <c r="L363" s="27"/>
      <c r="M363" s="5"/>
      <c r="N363" s="5"/>
      <c r="O363" s="29"/>
      <c r="P363" s="29"/>
      <c r="Q363" s="29"/>
      <c r="V363" s="1"/>
    </row>
    <row r="364" spans="1:22" ht="24" x14ac:dyDescent="0.2">
      <c r="A364" s="10">
        <v>46200</v>
      </c>
      <c r="B364" s="23" t="s">
        <v>20</v>
      </c>
      <c r="C364" s="9"/>
      <c r="D364" s="85" t="str">
        <f>Table33[[#This Row],[EVENTO 1 PRESC.]]&amp;" + "&amp;Table33[[#This Row],[EVENTO 2 PRESC.]]</f>
        <v xml:space="preserve"> + </v>
      </c>
      <c r="E364" s="85" t="str">
        <f>Table334[[#This Row],[EVENTO 1 PYP]]&amp;" + "&amp;Table334[[#This Row],[EVENTO 2 PYP]]</f>
        <v xml:space="preserve"> + </v>
      </c>
      <c r="F364" s="85" t="str">
        <f>Table3345[[#This Row],[EVENTO 1 MYP]]&amp;" + "&amp;Table3345[[#This Row],[EVENTO 2 MYP]]</f>
        <v xml:space="preserve"> + </v>
      </c>
      <c r="G364" s="85" t="str">
        <f>Table33456[[#This Row],[EVENTO 1 DP]]&amp;" + "&amp;Table33456[[#This Row],[EVENTO 2 DP]]</f>
        <v xml:space="preserve"> + </v>
      </c>
      <c r="H364" s="85"/>
      <c r="I364" s="88"/>
      <c r="J364" s="88"/>
      <c r="K364" s="20"/>
      <c r="L364" s="26"/>
      <c r="M364" s="8"/>
      <c r="N364" s="8"/>
      <c r="O364" s="29"/>
      <c r="P364" s="29"/>
      <c r="Q364" s="29"/>
      <c r="V364" s="1"/>
    </row>
    <row r="365" spans="1:22" ht="24" x14ac:dyDescent="0.2">
      <c r="A365" s="10">
        <v>46201</v>
      </c>
      <c r="B365" s="23" t="s">
        <v>20</v>
      </c>
      <c r="C365" s="9"/>
      <c r="D365" s="85" t="str">
        <f>Table33[[#This Row],[EVENTO 1 PRESC.]]&amp;" + "&amp;Table33[[#This Row],[EVENTO 2 PRESC.]]</f>
        <v xml:space="preserve"> + </v>
      </c>
      <c r="E365" s="85" t="str">
        <f>Table334[[#This Row],[EVENTO 1 PYP]]&amp;" + "&amp;Table334[[#This Row],[EVENTO 2 PYP]]</f>
        <v xml:space="preserve"> + </v>
      </c>
      <c r="F365" s="85" t="str">
        <f>Table3345[[#This Row],[EVENTO 1 MYP]]&amp;" + "&amp;Table3345[[#This Row],[EVENTO 2 MYP]]</f>
        <v xml:space="preserve"> + </v>
      </c>
      <c r="G365" s="85" t="str">
        <f>Table33456[[#This Row],[EVENTO 1 DP]]&amp;" + "&amp;Table33456[[#This Row],[EVENTO 2 DP]]</f>
        <v xml:space="preserve"> + </v>
      </c>
      <c r="H365" s="85"/>
      <c r="I365" s="88"/>
      <c r="J365" s="88"/>
      <c r="K365" s="20"/>
      <c r="L365" s="26"/>
      <c r="M365" s="8"/>
      <c r="N365" s="8"/>
      <c r="O365" s="29"/>
      <c r="P365" s="29"/>
      <c r="Q365" s="29"/>
      <c r="V365" s="1"/>
    </row>
    <row r="366" spans="1:22" ht="24" x14ac:dyDescent="0.2">
      <c r="A366" s="10">
        <v>46202</v>
      </c>
      <c r="B366" s="23" t="s">
        <v>17</v>
      </c>
      <c r="C366" s="9"/>
      <c r="D366" s="85" t="str">
        <f>Table33[[#This Row],[EVENTO 1 PRESC.]]&amp;" + "&amp;Table33[[#This Row],[EVENTO 2 PRESC.]]</f>
        <v xml:space="preserve"> + </v>
      </c>
      <c r="E366" s="85" t="str">
        <f>Table334[[#This Row],[EVENTO 1 PYP]]&amp;" + "&amp;Table334[[#This Row],[EVENTO 2 PYP]]</f>
        <v xml:space="preserve"> + </v>
      </c>
      <c r="F366" s="85" t="str">
        <f>Table3345[[#This Row],[EVENTO 1 MYP]]&amp;" + "&amp;Table3345[[#This Row],[EVENTO 2 MYP]]</f>
        <v xml:space="preserve"> + </v>
      </c>
      <c r="G366" s="85" t="str">
        <f>Table33456[[#This Row],[EVENTO 1 DP]]&amp;" + "&amp;Table33456[[#This Row],[EVENTO 2 DP]]</f>
        <v xml:space="preserve"> + </v>
      </c>
      <c r="H366" s="85"/>
      <c r="I366" s="88"/>
      <c r="J366" s="88"/>
      <c r="K366" s="20"/>
      <c r="L366" s="26"/>
      <c r="M366" s="8"/>
      <c r="N366" s="8"/>
      <c r="O366" s="29"/>
      <c r="P366" s="29"/>
      <c r="Q366" s="29"/>
      <c r="V366" s="1"/>
    </row>
    <row r="367" spans="1:22" ht="24" x14ac:dyDescent="0.2">
      <c r="A367" s="7">
        <v>46203</v>
      </c>
      <c r="B367" s="24" t="s">
        <v>23</v>
      </c>
      <c r="C367" s="6" t="s">
        <v>129</v>
      </c>
      <c r="D367" s="91" t="str">
        <f>Table33[[#This Row],[EVENTO 1 PRESC.]]&amp;" + "&amp;Table33[[#This Row],[EVENTO 2 PRESC.]]</f>
        <v xml:space="preserve"> + </v>
      </c>
      <c r="E367" s="91" t="str">
        <f>Table334[[#This Row],[EVENTO 1 PYP]]&amp;" + "&amp;Table334[[#This Row],[EVENTO 2 PYP]]</f>
        <v xml:space="preserve"> + </v>
      </c>
      <c r="F367" s="91" t="str">
        <f>Table3345[[#This Row],[EVENTO 1 MYP]]&amp;" + "&amp;Table3345[[#This Row],[EVENTO 2 MYP]]</f>
        <v xml:space="preserve"> + </v>
      </c>
      <c r="G367" s="91" t="str">
        <f>Table33456[[#This Row],[EVENTO 1 DP]]&amp;" + "&amp;Table33456[[#This Row],[EVENTO 2 DP]]</f>
        <v xml:space="preserve"> + </v>
      </c>
      <c r="H367" s="91"/>
      <c r="I367" s="92"/>
      <c r="J367" s="92"/>
      <c r="K367" s="21"/>
      <c r="L367" s="27"/>
      <c r="M367" s="5"/>
      <c r="N367" s="5"/>
      <c r="O367" s="29"/>
      <c r="P367" s="29"/>
      <c r="Q367" s="29"/>
      <c r="V367" s="1"/>
    </row>
    <row r="368" spans="1:22" ht="24" x14ac:dyDescent="0.2">
      <c r="A368" s="7">
        <v>46204</v>
      </c>
      <c r="B368" s="24" t="s">
        <v>18</v>
      </c>
      <c r="C368" s="53" t="s">
        <v>19</v>
      </c>
      <c r="D368" s="89" t="str">
        <f>Table33[[#This Row],[EVENTO 1 PRESC.]]&amp;" + "&amp;Table33[[#This Row],[EVENTO 2 PRESC.]]</f>
        <v xml:space="preserve"> + </v>
      </c>
      <c r="E368" s="89" t="str">
        <f>Table334[[#This Row],[EVENTO 1 PYP]]&amp;" + "&amp;Table334[[#This Row],[EVENTO 2 PYP]]</f>
        <v xml:space="preserve"> + </v>
      </c>
      <c r="F368" s="89" t="str">
        <f>Table3345[[#This Row],[EVENTO 1 MYP]]&amp;" + "&amp;Table3345[[#This Row],[EVENTO 2 MYP]]</f>
        <v xml:space="preserve"> + </v>
      </c>
      <c r="G368" s="89" t="str">
        <f>Table33456[[#This Row],[EVENTO 1 DP]]&amp;" + "&amp;Table33456[[#This Row],[EVENTO 2 DP]]</f>
        <v xml:space="preserve"> + </v>
      </c>
      <c r="H368" s="89"/>
      <c r="I368" s="90"/>
      <c r="J368" s="90"/>
      <c r="K368" s="21"/>
      <c r="L368" s="27"/>
      <c r="M368" s="5"/>
      <c r="N368" s="5"/>
      <c r="O368" s="29"/>
      <c r="P368" s="29"/>
      <c r="Q368" s="29"/>
      <c r="V368" s="1"/>
    </row>
    <row r="369" spans="1:22" ht="24" x14ac:dyDescent="0.2">
      <c r="A369" s="7">
        <v>46205</v>
      </c>
      <c r="B369" s="24" t="s">
        <v>18</v>
      </c>
      <c r="C369" s="53" t="s">
        <v>19</v>
      </c>
      <c r="D369" s="89" t="str">
        <f>Table33[[#This Row],[EVENTO 1 PRESC.]]&amp;" + "&amp;Table33[[#This Row],[EVENTO 2 PRESC.]]</f>
        <v xml:space="preserve"> + </v>
      </c>
      <c r="E369" s="89" t="str">
        <f>Table334[[#This Row],[EVENTO 1 PYP]]&amp;" + "&amp;Table334[[#This Row],[EVENTO 2 PYP]]</f>
        <v xml:space="preserve"> + </v>
      </c>
      <c r="F369" s="89" t="str">
        <f>Table3345[[#This Row],[EVENTO 1 MYP]]&amp;" + "&amp;Table3345[[#This Row],[EVENTO 2 MYP]]</f>
        <v xml:space="preserve"> + </v>
      </c>
      <c r="G369" s="89" t="str">
        <f>Table33456[[#This Row],[EVENTO 1 DP]]&amp;" + "&amp;Table33456[[#This Row],[EVENTO 2 DP]]</f>
        <v xml:space="preserve"> + </v>
      </c>
      <c r="H369" s="89"/>
      <c r="I369" s="90"/>
      <c r="J369" s="90"/>
      <c r="K369" s="21"/>
      <c r="L369" s="27"/>
      <c r="M369" s="5"/>
      <c r="N369" s="5"/>
      <c r="O369" s="29"/>
      <c r="P369" s="29"/>
      <c r="Q369" s="29"/>
      <c r="V369" s="1"/>
    </row>
    <row r="370" spans="1:22" ht="24" x14ac:dyDescent="0.2">
      <c r="A370" s="7">
        <v>46206</v>
      </c>
      <c r="B370" s="24" t="s">
        <v>18</v>
      </c>
      <c r="C370" s="53" t="s">
        <v>19</v>
      </c>
      <c r="D370" s="89" t="str">
        <f>Table33[[#This Row],[EVENTO 1 PRESC.]]&amp;" + "&amp;Table33[[#This Row],[EVENTO 2 PRESC.]]</f>
        <v xml:space="preserve"> + </v>
      </c>
      <c r="E370" s="89" t="str">
        <f>Table334[[#This Row],[EVENTO 1 PYP]]&amp;" + "&amp;Table334[[#This Row],[EVENTO 2 PYP]]</f>
        <v xml:space="preserve"> + </v>
      </c>
      <c r="F370" s="89" t="str">
        <f>Table3345[[#This Row],[EVENTO 1 MYP]]&amp;" + "&amp;Table3345[[#This Row],[EVENTO 2 MYP]]</f>
        <v xml:space="preserve"> + </v>
      </c>
      <c r="G370" s="89" t="str">
        <f>Table33456[[#This Row],[EVENTO 1 DP]]&amp;" + "&amp;Table33456[[#This Row],[EVENTO 2 DP]]</f>
        <v xml:space="preserve"> + </v>
      </c>
      <c r="H370" s="89"/>
      <c r="I370" s="90"/>
      <c r="J370" s="90"/>
      <c r="K370" s="21"/>
      <c r="L370" s="27"/>
      <c r="M370" s="5"/>
      <c r="N370" s="5"/>
      <c r="O370" s="29"/>
      <c r="P370" s="29"/>
      <c r="Q370" s="29"/>
      <c r="V370" s="1"/>
    </row>
    <row r="371" spans="1:22" ht="24" x14ac:dyDescent="0.2">
      <c r="A371" s="10">
        <v>46207</v>
      </c>
      <c r="B371" s="23" t="s">
        <v>20</v>
      </c>
      <c r="C371" s="9"/>
      <c r="D371" s="85" t="str">
        <f>Table33[[#This Row],[EVENTO 1 PRESC.]]&amp;" + "&amp;Table33[[#This Row],[EVENTO 2 PRESC.]]</f>
        <v xml:space="preserve"> + </v>
      </c>
      <c r="E371" s="85" t="str">
        <f>Table334[[#This Row],[EVENTO 1 PYP]]&amp;" + "&amp;Table334[[#This Row],[EVENTO 2 PYP]]</f>
        <v xml:space="preserve"> + </v>
      </c>
      <c r="F371" s="85" t="str">
        <f>Table3345[[#This Row],[EVENTO 1 MYP]]&amp;" + "&amp;Table3345[[#This Row],[EVENTO 2 MYP]]</f>
        <v xml:space="preserve"> + </v>
      </c>
      <c r="G371" s="85" t="str">
        <f>Table33456[[#This Row],[EVENTO 1 DP]]&amp;" + "&amp;Table33456[[#This Row],[EVENTO 2 DP]]</f>
        <v xml:space="preserve"> + </v>
      </c>
      <c r="H371" s="85"/>
      <c r="I371" s="88"/>
      <c r="J371" s="88"/>
      <c r="K371" s="20"/>
      <c r="L371" s="26"/>
      <c r="M371" s="8"/>
      <c r="N371" s="8"/>
      <c r="O371" s="29"/>
      <c r="P371" s="29"/>
      <c r="Q371" s="29"/>
      <c r="V371" s="1"/>
    </row>
    <row r="372" spans="1:22" ht="24" x14ac:dyDescent="0.2">
      <c r="A372" s="10">
        <v>46208</v>
      </c>
      <c r="B372" s="23" t="s">
        <v>20</v>
      </c>
      <c r="C372" s="9"/>
      <c r="D372" s="85" t="str">
        <f>Table33[[#This Row],[EVENTO 1 PRESC.]]&amp;" + "&amp;Table33[[#This Row],[EVENTO 2 PRESC.]]</f>
        <v xml:space="preserve"> + </v>
      </c>
      <c r="E372" s="85" t="str">
        <f>Table334[[#This Row],[EVENTO 1 PYP]]&amp;" + "&amp;Table334[[#This Row],[EVENTO 2 PYP]]</f>
        <v xml:space="preserve"> + </v>
      </c>
      <c r="F372" s="85" t="str">
        <f>Table3345[[#This Row],[EVENTO 1 MYP]]&amp;" + "&amp;Table3345[[#This Row],[EVENTO 2 MYP]]</f>
        <v xml:space="preserve"> + </v>
      </c>
      <c r="G372" s="85" t="str">
        <f>Table33456[[#This Row],[EVENTO 1 DP]]&amp;" + "&amp;Table33456[[#This Row],[EVENTO 2 DP]]</f>
        <v xml:space="preserve"> + </v>
      </c>
      <c r="H372" s="85"/>
      <c r="I372" s="88"/>
      <c r="J372" s="88"/>
      <c r="K372" s="20"/>
      <c r="L372" s="26"/>
      <c r="M372" s="8"/>
      <c r="N372" s="8"/>
      <c r="O372" s="29"/>
      <c r="P372" s="29"/>
      <c r="Q372" s="29"/>
      <c r="V372" s="1"/>
    </row>
    <row r="373" spans="1:22" ht="24" x14ac:dyDescent="0.2">
      <c r="A373" s="7">
        <v>46209</v>
      </c>
      <c r="B373" s="24" t="s">
        <v>18</v>
      </c>
      <c r="C373" s="53" t="s">
        <v>19</v>
      </c>
      <c r="D373" s="89" t="str">
        <f>Table33[[#This Row],[EVENTO 1 PRESC.]]&amp;" + "&amp;Table33[[#This Row],[EVENTO 2 PRESC.]]</f>
        <v xml:space="preserve"> + </v>
      </c>
      <c r="E373" s="89" t="str">
        <f>Table334[[#This Row],[EVENTO 1 PYP]]&amp;" + "&amp;Table334[[#This Row],[EVENTO 2 PYP]]</f>
        <v xml:space="preserve"> + </v>
      </c>
      <c r="F373" s="89" t="str">
        <f>Table3345[[#This Row],[EVENTO 1 MYP]]&amp;" + "&amp;Table3345[[#This Row],[EVENTO 2 MYP]]</f>
        <v xml:space="preserve"> + </v>
      </c>
      <c r="G373" s="89" t="str">
        <f>Table33456[[#This Row],[EVENTO 1 DP]]&amp;" + "&amp;Table33456[[#This Row],[EVENTO 2 DP]]</f>
        <v xml:space="preserve"> + </v>
      </c>
      <c r="H373" s="89"/>
      <c r="I373" s="90"/>
      <c r="J373" s="90"/>
      <c r="K373" s="21"/>
      <c r="L373" s="27"/>
      <c r="M373" s="5"/>
      <c r="N373" s="5"/>
      <c r="O373" s="29"/>
      <c r="P373" s="29"/>
      <c r="Q373" s="29"/>
      <c r="V373" s="1"/>
    </row>
    <row r="374" spans="1:22" ht="24" x14ac:dyDescent="0.2">
      <c r="A374" s="7">
        <v>46210</v>
      </c>
      <c r="B374" s="24" t="s">
        <v>18</v>
      </c>
      <c r="C374" s="53" t="s">
        <v>19</v>
      </c>
      <c r="D374" s="89" t="str">
        <f>Table33[[#This Row],[EVENTO 1 PRESC.]]&amp;" + "&amp;Table33[[#This Row],[EVENTO 2 PRESC.]]</f>
        <v xml:space="preserve"> + </v>
      </c>
      <c r="E374" s="89" t="str">
        <f>Table334[[#This Row],[EVENTO 1 PYP]]&amp;" + "&amp;Table334[[#This Row],[EVENTO 2 PYP]]</f>
        <v xml:space="preserve"> + </v>
      </c>
      <c r="F374" s="89" t="str">
        <f>Table3345[[#This Row],[EVENTO 1 MYP]]&amp;" + "&amp;Table3345[[#This Row],[EVENTO 2 MYP]]</f>
        <v xml:space="preserve"> + </v>
      </c>
      <c r="G374" s="89" t="str">
        <f>Table33456[[#This Row],[EVENTO 1 DP]]&amp;" + "&amp;Table33456[[#This Row],[EVENTO 2 DP]]</f>
        <v xml:space="preserve"> + </v>
      </c>
      <c r="H374" s="89"/>
      <c r="I374" s="90"/>
      <c r="J374" s="90"/>
      <c r="K374" s="21"/>
      <c r="L374" s="27"/>
      <c r="M374" s="5"/>
      <c r="N374" s="5"/>
      <c r="O374" s="29"/>
      <c r="P374" s="29"/>
      <c r="Q374" s="29"/>
      <c r="V374" s="1"/>
    </row>
    <row r="375" spans="1:22" ht="24" x14ac:dyDescent="0.2">
      <c r="A375" s="7">
        <v>46211</v>
      </c>
      <c r="B375" s="24" t="s">
        <v>18</v>
      </c>
      <c r="C375" s="53" t="s">
        <v>19</v>
      </c>
      <c r="D375" s="89" t="str">
        <f>Table33[[#This Row],[EVENTO 1 PRESC.]]&amp;" + "&amp;Table33[[#This Row],[EVENTO 2 PRESC.]]</f>
        <v xml:space="preserve"> + </v>
      </c>
      <c r="E375" s="89" t="str">
        <f>Table334[[#This Row],[EVENTO 1 PYP]]&amp;" + "&amp;Table334[[#This Row],[EVENTO 2 PYP]]</f>
        <v xml:space="preserve"> + </v>
      </c>
      <c r="F375" s="89" t="str">
        <f>Table3345[[#This Row],[EVENTO 1 MYP]]&amp;" + "&amp;Table3345[[#This Row],[EVENTO 2 MYP]]</f>
        <v xml:space="preserve"> + </v>
      </c>
      <c r="G375" s="89" t="str">
        <f>Table33456[[#This Row],[EVENTO 1 DP]]&amp;" + "&amp;Table33456[[#This Row],[EVENTO 2 DP]]</f>
        <v xml:space="preserve"> + </v>
      </c>
      <c r="H375" s="89"/>
      <c r="I375" s="90"/>
      <c r="J375" s="90"/>
      <c r="K375" s="21"/>
      <c r="L375" s="27"/>
      <c r="M375" s="5"/>
      <c r="N375" s="5"/>
      <c r="O375" s="29"/>
      <c r="P375" s="29"/>
      <c r="Q375" s="29"/>
      <c r="V375" s="1"/>
    </row>
    <row r="376" spans="1:22" ht="24" x14ac:dyDescent="0.2">
      <c r="A376" s="7">
        <v>46212</v>
      </c>
      <c r="B376" s="24" t="s">
        <v>18</v>
      </c>
      <c r="C376" s="53" t="s">
        <v>19</v>
      </c>
      <c r="D376" s="89" t="str">
        <f>Table33[[#This Row],[EVENTO 1 PRESC.]]&amp;" + "&amp;Table33[[#This Row],[EVENTO 2 PRESC.]]</f>
        <v xml:space="preserve"> + </v>
      </c>
      <c r="E376" s="89" t="str">
        <f>Table334[[#This Row],[EVENTO 1 PYP]]&amp;" + "&amp;Table334[[#This Row],[EVENTO 2 PYP]]</f>
        <v xml:space="preserve"> + </v>
      </c>
      <c r="F376" s="89" t="str">
        <f>Table3345[[#This Row],[EVENTO 1 MYP]]&amp;" + "&amp;Table3345[[#This Row],[EVENTO 2 MYP]]</f>
        <v xml:space="preserve"> + </v>
      </c>
      <c r="G376" s="89" t="str">
        <f>Table33456[[#This Row],[EVENTO 1 DP]]&amp;" + "&amp;Table33456[[#This Row],[EVENTO 2 DP]]</f>
        <v xml:space="preserve"> + </v>
      </c>
      <c r="H376" s="89"/>
      <c r="I376" s="90"/>
      <c r="J376" s="90"/>
      <c r="K376" s="21"/>
      <c r="L376" s="27"/>
      <c r="M376" s="5"/>
      <c r="N376" s="5"/>
      <c r="O376" s="29"/>
      <c r="P376" s="29"/>
      <c r="Q376" s="29"/>
      <c r="V376" s="1"/>
    </row>
    <row r="377" spans="1:22" ht="24" x14ac:dyDescent="0.2">
      <c r="A377" s="7">
        <v>46213</v>
      </c>
      <c r="B377" s="24" t="s">
        <v>18</v>
      </c>
      <c r="C377" s="53" t="s">
        <v>19</v>
      </c>
      <c r="D377" s="89" t="str">
        <f>Table33[[#This Row],[EVENTO 1 PRESC.]]&amp;" + "&amp;Table33[[#This Row],[EVENTO 2 PRESC.]]</f>
        <v xml:space="preserve"> + </v>
      </c>
      <c r="E377" s="89" t="str">
        <f>Table334[[#This Row],[EVENTO 1 PYP]]&amp;" + "&amp;Table334[[#This Row],[EVENTO 2 PYP]]</f>
        <v xml:space="preserve"> + </v>
      </c>
      <c r="F377" s="89" t="str">
        <f>Table3345[[#This Row],[EVENTO 1 MYP]]&amp;" + "&amp;Table3345[[#This Row],[EVENTO 2 MYP]]</f>
        <v xml:space="preserve"> + </v>
      </c>
      <c r="G377" s="89" t="str">
        <f>Table33456[[#This Row],[EVENTO 1 DP]]&amp;" + "&amp;Table33456[[#This Row],[EVENTO 2 DP]]</f>
        <v xml:space="preserve"> + </v>
      </c>
      <c r="H377" s="89"/>
      <c r="I377" s="90"/>
      <c r="J377" s="90"/>
      <c r="K377" s="21"/>
      <c r="L377" s="27"/>
      <c r="M377" s="5"/>
      <c r="N377" s="5"/>
      <c r="O377" s="29"/>
      <c r="P377" s="29"/>
      <c r="Q377" s="29"/>
      <c r="V377" s="1"/>
    </row>
    <row r="378" spans="1:22" ht="24" x14ac:dyDescent="0.2">
      <c r="A378" s="10">
        <v>46214</v>
      </c>
      <c r="B378" s="23" t="s">
        <v>20</v>
      </c>
      <c r="C378" s="9"/>
      <c r="D378" s="85" t="str">
        <f>Table33[[#This Row],[EVENTO 1 PRESC.]]&amp;" + "&amp;Table33[[#This Row],[EVENTO 2 PRESC.]]</f>
        <v xml:space="preserve"> + </v>
      </c>
      <c r="E378" s="85" t="str">
        <f>Table334[[#This Row],[EVENTO 1 PYP]]&amp;" + "&amp;Table334[[#This Row],[EVENTO 2 PYP]]</f>
        <v xml:space="preserve"> + </v>
      </c>
      <c r="F378" s="85" t="str">
        <f>Table3345[[#This Row],[EVENTO 1 MYP]]&amp;" + "&amp;Table3345[[#This Row],[EVENTO 2 MYP]]</f>
        <v xml:space="preserve"> + </v>
      </c>
      <c r="G378" s="85" t="str">
        <f>Table33456[[#This Row],[EVENTO 1 DP]]&amp;" + "&amp;Table33456[[#This Row],[EVENTO 2 DP]]</f>
        <v xml:space="preserve"> + </v>
      </c>
      <c r="H378" s="85"/>
      <c r="I378" s="88"/>
      <c r="J378" s="88"/>
      <c r="K378" s="20"/>
      <c r="L378" s="26"/>
      <c r="M378" s="8"/>
      <c r="N378" s="8"/>
      <c r="O378" s="29"/>
      <c r="P378" s="29"/>
      <c r="Q378" s="29"/>
      <c r="V378" s="1"/>
    </row>
    <row r="379" spans="1:22" ht="24" x14ac:dyDescent="0.2">
      <c r="A379" s="10">
        <v>46215</v>
      </c>
      <c r="B379" s="23" t="s">
        <v>20</v>
      </c>
      <c r="C379" s="9"/>
      <c r="D379" s="85" t="str">
        <f>Table33[[#This Row],[EVENTO 1 PRESC.]]&amp;" + "&amp;Table33[[#This Row],[EVENTO 2 PRESC.]]</f>
        <v xml:space="preserve"> + </v>
      </c>
      <c r="E379" s="85" t="str">
        <f>Table334[[#This Row],[EVENTO 1 PYP]]&amp;" + "&amp;Table334[[#This Row],[EVENTO 2 PYP]]</f>
        <v xml:space="preserve"> + </v>
      </c>
      <c r="F379" s="85" t="str">
        <f>Table3345[[#This Row],[EVENTO 1 MYP]]&amp;" + "&amp;Table3345[[#This Row],[EVENTO 2 MYP]]</f>
        <v xml:space="preserve"> + </v>
      </c>
      <c r="G379" s="85" t="str">
        <f>Table33456[[#This Row],[EVENTO 1 DP]]&amp;" + "&amp;Table33456[[#This Row],[EVENTO 2 DP]]</f>
        <v xml:space="preserve"> + </v>
      </c>
      <c r="H379" s="85"/>
      <c r="I379" s="88"/>
      <c r="J379" s="88"/>
      <c r="K379" s="20"/>
      <c r="L379" s="26"/>
      <c r="M379" s="8"/>
      <c r="N379" s="8"/>
      <c r="O379" s="29"/>
      <c r="P379" s="29"/>
      <c r="Q379" s="29"/>
      <c r="V379" s="1"/>
    </row>
    <row r="380" spans="1:22" ht="24" x14ac:dyDescent="0.2">
      <c r="A380" s="7">
        <v>46216</v>
      </c>
      <c r="B380" s="24" t="s">
        <v>18</v>
      </c>
      <c r="C380" s="53" t="s">
        <v>19</v>
      </c>
      <c r="D380" s="89" t="str">
        <f>Table33[[#This Row],[EVENTO 1 PRESC.]]&amp;" + "&amp;Table33[[#This Row],[EVENTO 2 PRESC.]]</f>
        <v xml:space="preserve"> + </v>
      </c>
      <c r="E380" s="89" t="str">
        <f>Table334[[#This Row],[EVENTO 1 PYP]]&amp;" + "&amp;Table334[[#This Row],[EVENTO 2 PYP]]</f>
        <v xml:space="preserve"> + </v>
      </c>
      <c r="F380" s="89" t="str">
        <f>Table3345[[#This Row],[EVENTO 1 MYP]]&amp;" + "&amp;Table3345[[#This Row],[EVENTO 2 MYP]]</f>
        <v xml:space="preserve"> + </v>
      </c>
      <c r="G380" s="89" t="str">
        <f>Table33456[[#This Row],[EVENTO 1 DP]]&amp;" + "&amp;Table33456[[#This Row],[EVENTO 2 DP]]</f>
        <v xml:space="preserve"> + </v>
      </c>
      <c r="H380" s="89"/>
      <c r="I380" s="90"/>
      <c r="J380" s="90"/>
      <c r="K380" s="21"/>
      <c r="L380" s="27"/>
      <c r="M380" s="5"/>
      <c r="N380" s="5"/>
      <c r="O380" s="29"/>
      <c r="P380" s="29"/>
      <c r="Q380" s="29"/>
      <c r="V380" s="1"/>
    </row>
    <row r="381" spans="1:22" ht="24" x14ac:dyDescent="0.2">
      <c r="A381" s="7">
        <v>46217</v>
      </c>
      <c r="B381" s="24" t="s">
        <v>18</v>
      </c>
      <c r="C381" s="53" t="s">
        <v>19</v>
      </c>
      <c r="D381" s="89" t="str">
        <f>Table33[[#This Row],[EVENTO 1 PRESC.]]&amp;" + "&amp;Table33[[#This Row],[EVENTO 2 PRESC.]]</f>
        <v xml:space="preserve"> + </v>
      </c>
      <c r="E381" s="89" t="str">
        <f>Table334[[#This Row],[EVENTO 1 PYP]]&amp;" + "&amp;Table334[[#This Row],[EVENTO 2 PYP]]</f>
        <v xml:space="preserve"> + </v>
      </c>
      <c r="F381" s="89" t="str">
        <f>Table3345[[#This Row],[EVENTO 1 MYP]]&amp;" + "&amp;Table3345[[#This Row],[EVENTO 2 MYP]]</f>
        <v xml:space="preserve"> + </v>
      </c>
      <c r="G381" s="89" t="str">
        <f>Table33456[[#This Row],[EVENTO 1 DP]]&amp;" + "&amp;Table33456[[#This Row],[EVENTO 2 DP]]</f>
        <v xml:space="preserve"> + </v>
      </c>
      <c r="H381" s="89"/>
      <c r="I381" s="90"/>
      <c r="J381" s="90"/>
      <c r="K381" s="21"/>
      <c r="L381" s="27"/>
      <c r="M381" s="5"/>
      <c r="N381" s="5"/>
      <c r="O381" s="29"/>
      <c r="P381" s="29"/>
      <c r="Q381" s="29"/>
      <c r="V381" s="1"/>
    </row>
    <row r="382" spans="1:22" ht="24" x14ac:dyDescent="0.2">
      <c r="A382" s="7">
        <v>46218</v>
      </c>
      <c r="B382" s="24" t="s">
        <v>18</v>
      </c>
      <c r="C382" s="53" t="s">
        <v>19</v>
      </c>
      <c r="D382" s="89" t="str">
        <f>Table33[[#This Row],[EVENTO 1 PRESC.]]&amp;" + "&amp;Table33[[#This Row],[EVENTO 2 PRESC.]]</f>
        <v xml:space="preserve"> + </v>
      </c>
      <c r="E382" s="89" t="str">
        <f>Table334[[#This Row],[EVENTO 1 PYP]]&amp;" + "&amp;Table334[[#This Row],[EVENTO 2 PYP]]</f>
        <v xml:space="preserve"> + </v>
      </c>
      <c r="F382" s="89" t="str">
        <f>Table3345[[#This Row],[EVENTO 1 MYP]]&amp;" + "&amp;Table3345[[#This Row],[EVENTO 2 MYP]]</f>
        <v xml:space="preserve"> + </v>
      </c>
      <c r="G382" s="89" t="str">
        <f>Table33456[[#This Row],[EVENTO 1 DP]]&amp;" + "&amp;Table33456[[#This Row],[EVENTO 2 DP]]</f>
        <v xml:space="preserve"> + </v>
      </c>
      <c r="H382" s="89"/>
      <c r="I382" s="90"/>
      <c r="J382" s="90"/>
      <c r="K382" s="21"/>
      <c r="L382" s="27"/>
      <c r="M382" s="5"/>
      <c r="N382" s="5"/>
      <c r="O382" s="29"/>
      <c r="P382" s="29"/>
      <c r="Q382" s="29"/>
      <c r="V382" s="1"/>
    </row>
    <row r="383" spans="1:22" ht="24" x14ac:dyDescent="0.2">
      <c r="A383" s="7">
        <v>46219</v>
      </c>
      <c r="B383" s="24" t="s">
        <v>18</v>
      </c>
      <c r="C383" s="53" t="s">
        <v>19</v>
      </c>
      <c r="D383" s="89" t="str">
        <f>Table33[[#This Row],[EVENTO 1 PRESC.]]&amp;" + "&amp;Table33[[#This Row],[EVENTO 2 PRESC.]]</f>
        <v xml:space="preserve"> + </v>
      </c>
      <c r="E383" s="89" t="str">
        <f>Table334[[#This Row],[EVENTO 1 PYP]]&amp;" + "&amp;Table334[[#This Row],[EVENTO 2 PYP]]</f>
        <v xml:space="preserve"> + </v>
      </c>
      <c r="F383" s="89" t="str">
        <f>Table3345[[#This Row],[EVENTO 1 MYP]]&amp;" + "&amp;Table3345[[#This Row],[EVENTO 2 MYP]]</f>
        <v xml:space="preserve"> + </v>
      </c>
      <c r="G383" s="89" t="str">
        <f>Table33456[[#This Row],[EVENTO 1 DP]]&amp;" + "&amp;Table33456[[#This Row],[EVENTO 2 DP]]</f>
        <v xml:space="preserve"> + </v>
      </c>
      <c r="H383" s="89"/>
      <c r="I383" s="90"/>
      <c r="J383" s="90"/>
      <c r="K383" s="21"/>
      <c r="L383" s="27"/>
      <c r="M383" s="5"/>
      <c r="N383" s="5"/>
      <c r="O383" s="29"/>
      <c r="P383" s="29"/>
      <c r="Q383" s="29"/>
      <c r="V383" s="1"/>
    </row>
    <row r="384" spans="1:22" ht="24" x14ac:dyDescent="0.2">
      <c r="A384" s="7">
        <v>46220</v>
      </c>
      <c r="B384" s="24" t="s">
        <v>18</v>
      </c>
      <c r="C384" s="53" t="s">
        <v>19</v>
      </c>
      <c r="D384" s="89" t="str">
        <f>Table33[[#This Row],[EVENTO 1 PRESC.]]&amp;" + "&amp;Table33[[#This Row],[EVENTO 2 PRESC.]]</f>
        <v xml:space="preserve"> + </v>
      </c>
      <c r="E384" s="89" t="str">
        <f>Table334[[#This Row],[EVENTO 1 PYP]]&amp;" + "&amp;Table334[[#This Row],[EVENTO 2 PYP]]</f>
        <v xml:space="preserve"> + </v>
      </c>
      <c r="F384" s="89" t="str">
        <f>Table3345[[#This Row],[EVENTO 1 MYP]]&amp;" + "&amp;Table3345[[#This Row],[EVENTO 2 MYP]]</f>
        <v xml:space="preserve"> + </v>
      </c>
      <c r="G384" s="89" t="str">
        <f>Table33456[[#This Row],[EVENTO 1 DP]]&amp;" + "&amp;Table33456[[#This Row],[EVENTO 2 DP]]</f>
        <v xml:space="preserve"> + </v>
      </c>
      <c r="H384" s="89"/>
      <c r="I384" s="90"/>
      <c r="J384" s="90"/>
      <c r="K384" s="21"/>
      <c r="L384" s="27"/>
      <c r="M384" s="5"/>
      <c r="N384" s="5"/>
      <c r="O384" s="29"/>
      <c r="P384" s="29"/>
      <c r="Q384" s="29"/>
      <c r="V384" s="1"/>
    </row>
    <row r="385" spans="1:22" ht="24" x14ac:dyDescent="0.2">
      <c r="A385" s="10">
        <v>46221</v>
      </c>
      <c r="B385" s="23" t="s">
        <v>20</v>
      </c>
      <c r="C385" s="9"/>
      <c r="D385" s="85" t="str">
        <f>Table33[[#This Row],[EVENTO 1 PRESC.]]&amp;" + "&amp;Table33[[#This Row],[EVENTO 2 PRESC.]]</f>
        <v xml:space="preserve"> + </v>
      </c>
      <c r="E385" s="85" t="str">
        <f>Table334[[#This Row],[EVENTO 1 PYP]]&amp;" + "&amp;Table334[[#This Row],[EVENTO 2 PYP]]</f>
        <v xml:space="preserve"> + </v>
      </c>
      <c r="F385" s="85" t="str">
        <f>Table3345[[#This Row],[EVENTO 1 MYP]]&amp;" + "&amp;Table3345[[#This Row],[EVENTO 2 MYP]]</f>
        <v xml:space="preserve"> + </v>
      </c>
      <c r="G385" s="85" t="str">
        <f>Table33456[[#This Row],[EVENTO 1 DP]]&amp;" + "&amp;Table33456[[#This Row],[EVENTO 2 DP]]</f>
        <v xml:space="preserve"> + </v>
      </c>
      <c r="H385" s="85"/>
      <c r="I385" s="88"/>
      <c r="J385" s="88"/>
      <c r="K385" s="20"/>
      <c r="L385" s="26"/>
      <c r="M385" s="8"/>
      <c r="N385" s="8"/>
      <c r="O385" s="29"/>
      <c r="P385" s="29"/>
      <c r="Q385" s="29"/>
      <c r="V385" s="1"/>
    </row>
    <row r="386" spans="1:22" ht="24" x14ac:dyDescent="0.2">
      <c r="A386" s="10">
        <v>46222</v>
      </c>
      <c r="B386" s="23" t="s">
        <v>20</v>
      </c>
      <c r="C386" s="9"/>
      <c r="D386" s="85" t="str">
        <f>Table33[[#This Row],[EVENTO 1 PRESC.]]&amp;" + "&amp;Table33[[#This Row],[EVENTO 2 PRESC.]]</f>
        <v xml:space="preserve"> + </v>
      </c>
      <c r="E386" s="85" t="str">
        <f>Table334[[#This Row],[EVENTO 1 PYP]]&amp;" + "&amp;Table334[[#This Row],[EVENTO 2 PYP]]</f>
        <v xml:space="preserve"> + </v>
      </c>
      <c r="F386" s="85" t="str">
        <f>Table3345[[#This Row],[EVENTO 1 MYP]]&amp;" + "&amp;Table3345[[#This Row],[EVENTO 2 MYP]]</f>
        <v xml:space="preserve"> + </v>
      </c>
      <c r="G386" s="85" t="str">
        <f>Table33456[[#This Row],[EVENTO 1 DP]]&amp;" + "&amp;Table33456[[#This Row],[EVENTO 2 DP]]</f>
        <v xml:space="preserve"> + </v>
      </c>
      <c r="H386" s="85"/>
      <c r="I386" s="88"/>
      <c r="J386" s="88"/>
      <c r="K386" s="20"/>
      <c r="L386" s="26"/>
      <c r="M386" s="8"/>
      <c r="N386" s="8"/>
      <c r="O386" s="29"/>
      <c r="P386" s="29"/>
      <c r="Q386" s="29"/>
      <c r="V386" s="1"/>
    </row>
    <row r="387" spans="1:22" ht="24" x14ac:dyDescent="0.2">
      <c r="A387" s="10">
        <v>46223</v>
      </c>
      <c r="B387" s="23" t="s">
        <v>17</v>
      </c>
      <c r="C387" s="9"/>
      <c r="D387" s="85" t="str">
        <f>Table33[[#This Row],[EVENTO 1 PRESC.]]&amp;" + "&amp;Table33[[#This Row],[EVENTO 2 PRESC.]]</f>
        <v xml:space="preserve"> + </v>
      </c>
      <c r="E387" s="85" t="str">
        <f>Table334[[#This Row],[EVENTO 1 PYP]]&amp;" + "&amp;Table334[[#This Row],[EVENTO 2 PYP]]</f>
        <v xml:space="preserve"> + </v>
      </c>
      <c r="F387" s="85" t="str">
        <f>Table3345[[#This Row],[EVENTO 1 MYP]]&amp;" + "&amp;Table3345[[#This Row],[EVENTO 2 MYP]]</f>
        <v xml:space="preserve"> + </v>
      </c>
      <c r="G387" s="85" t="str">
        <f>Table33456[[#This Row],[EVENTO 1 DP]]&amp;" + "&amp;Table33456[[#This Row],[EVENTO 2 DP]]</f>
        <v xml:space="preserve"> + </v>
      </c>
      <c r="H387" s="85"/>
      <c r="I387" s="88"/>
      <c r="J387" s="88"/>
      <c r="K387" s="20"/>
      <c r="L387" s="26"/>
      <c r="M387" s="8"/>
      <c r="N387" s="8"/>
      <c r="O387" s="29"/>
      <c r="P387" s="29"/>
      <c r="Q387" s="29"/>
      <c r="V387" s="1"/>
    </row>
    <row r="388" spans="1:22" ht="24" x14ac:dyDescent="0.2">
      <c r="A388" s="7">
        <v>46224</v>
      </c>
      <c r="B388" s="24" t="s">
        <v>21</v>
      </c>
      <c r="C388" s="53" t="s">
        <v>22</v>
      </c>
      <c r="D388" s="89" t="str">
        <f>Table33[[#This Row],[EVENTO 1 PRESC.]]&amp;" + "&amp;Table33[[#This Row],[EVENTO 2 PRESC.]]</f>
        <v xml:space="preserve"> + </v>
      </c>
      <c r="E388" s="89" t="str">
        <f>Table334[[#This Row],[EVENTO 1 PYP]]&amp;" + "&amp;Table334[[#This Row],[EVENTO 2 PYP]]</f>
        <v xml:space="preserve"> + </v>
      </c>
      <c r="F388" s="89" t="str">
        <f>Table3345[[#This Row],[EVENTO 1 MYP]]&amp;" + "&amp;Table3345[[#This Row],[EVENTO 2 MYP]]</f>
        <v xml:space="preserve"> + </v>
      </c>
      <c r="G388" s="89" t="str">
        <f>Table33456[[#This Row],[EVENTO 1 DP]]&amp;" + "&amp;Table33456[[#This Row],[EVENTO 2 DP]]</f>
        <v xml:space="preserve"> + </v>
      </c>
      <c r="H388" s="89"/>
      <c r="I388" s="90"/>
      <c r="J388" s="90"/>
      <c r="K388" s="21"/>
      <c r="L388" s="27"/>
      <c r="M388" s="5"/>
      <c r="N388" s="5"/>
      <c r="O388" s="29"/>
      <c r="P388" s="29"/>
      <c r="Q388" s="29"/>
      <c r="V388" s="1"/>
    </row>
    <row r="389" spans="1:22" ht="24" x14ac:dyDescent="0.2">
      <c r="A389" s="7">
        <v>46225</v>
      </c>
      <c r="B389" s="24" t="s">
        <v>21</v>
      </c>
      <c r="C389" s="6"/>
      <c r="D389" s="91" t="str">
        <f>Table33[[#This Row],[EVENTO 1 PRESC.]]&amp;" + "&amp;Table33[[#This Row],[EVENTO 2 PRESC.]]</f>
        <v xml:space="preserve"> + </v>
      </c>
      <c r="E389" s="91" t="str">
        <f>Table334[[#This Row],[EVENTO 1 PYP]]&amp;" + "&amp;Table334[[#This Row],[EVENTO 2 PYP]]</f>
        <v xml:space="preserve"> + </v>
      </c>
      <c r="F389" s="91" t="str">
        <f>Table3345[[#This Row],[EVENTO 1 MYP]]&amp;" + "&amp;Table3345[[#This Row],[EVENTO 2 MYP]]</f>
        <v xml:space="preserve"> + </v>
      </c>
      <c r="G389" s="91" t="str">
        <f>Table33456[[#This Row],[EVENTO 1 DP]]&amp;" + "&amp;Table33456[[#This Row],[EVENTO 2 DP]]</f>
        <v xml:space="preserve"> + </v>
      </c>
      <c r="H389" s="91"/>
      <c r="I389" s="92"/>
      <c r="J389" s="92"/>
      <c r="K389" s="21"/>
      <c r="L389" s="27"/>
      <c r="M389" s="5"/>
      <c r="N389" s="5"/>
      <c r="O389" s="29"/>
      <c r="P389" s="29"/>
      <c r="Q389" s="29"/>
      <c r="V389" s="1"/>
    </row>
    <row r="390" spans="1:22" ht="24" x14ac:dyDescent="0.2">
      <c r="A390" s="7">
        <v>46226</v>
      </c>
      <c r="B390" s="24" t="s">
        <v>21</v>
      </c>
      <c r="C390" s="6"/>
      <c r="D390" s="91" t="str">
        <f>Table33[[#This Row],[EVENTO 1 PRESC.]]&amp;" + "&amp;Table33[[#This Row],[EVENTO 2 PRESC.]]</f>
        <v xml:space="preserve"> + </v>
      </c>
      <c r="E390" s="91" t="str">
        <f>Table334[[#This Row],[EVENTO 1 PYP]]&amp;" + "&amp;Table334[[#This Row],[EVENTO 2 PYP]]</f>
        <v xml:space="preserve"> + </v>
      </c>
      <c r="F390" s="91" t="str">
        <f>Table3345[[#This Row],[EVENTO 1 MYP]]&amp;" + "&amp;Table3345[[#This Row],[EVENTO 2 MYP]]</f>
        <v xml:space="preserve"> + </v>
      </c>
      <c r="G390" s="91" t="str">
        <f>Table33456[[#This Row],[EVENTO 1 DP]]&amp;" + "&amp;Table33456[[#This Row],[EVENTO 2 DP]]</f>
        <v xml:space="preserve"> + </v>
      </c>
      <c r="H390" s="91"/>
      <c r="I390" s="92"/>
      <c r="J390" s="92"/>
      <c r="K390" s="21"/>
      <c r="L390" s="27"/>
      <c r="M390" s="5"/>
      <c r="N390" s="5"/>
      <c r="O390" s="29"/>
      <c r="P390" s="29"/>
      <c r="Q390" s="29"/>
      <c r="V390" s="1"/>
    </row>
    <row r="391" spans="1:22" ht="24" x14ac:dyDescent="0.2">
      <c r="A391" s="7">
        <v>46227</v>
      </c>
      <c r="B391" s="24" t="s">
        <v>21</v>
      </c>
      <c r="C391" s="6"/>
      <c r="D391" s="91" t="str">
        <f>Table33[[#This Row],[EVENTO 1 PRESC.]]&amp;" + "&amp;Table33[[#This Row],[EVENTO 2 PRESC.]]</f>
        <v xml:space="preserve"> + </v>
      </c>
      <c r="E391" s="91" t="str">
        <f>Table334[[#This Row],[EVENTO 1 PYP]]&amp;" + "&amp;Table334[[#This Row],[EVENTO 2 PYP]]</f>
        <v xml:space="preserve"> + </v>
      </c>
      <c r="F391" s="91" t="str">
        <f>Table3345[[#This Row],[EVENTO 1 MYP]]&amp;" + "&amp;Table3345[[#This Row],[EVENTO 2 MYP]]</f>
        <v xml:space="preserve"> + </v>
      </c>
      <c r="G391" s="91" t="str">
        <f>Table33456[[#This Row],[EVENTO 1 DP]]&amp;" + "&amp;Table33456[[#This Row],[EVENTO 2 DP]]</f>
        <v xml:space="preserve"> + </v>
      </c>
      <c r="H391" s="91"/>
      <c r="I391" s="92"/>
      <c r="J391" s="92"/>
      <c r="K391" s="21"/>
      <c r="L391" s="27"/>
      <c r="M391" s="5"/>
      <c r="N391" s="5"/>
      <c r="O391" s="29"/>
      <c r="P391" s="29"/>
      <c r="Q391" s="29"/>
      <c r="V391" s="1"/>
    </row>
    <row r="392" spans="1:22" ht="24" x14ac:dyDescent="0.2">
      <c r="A392" s="10">
        <v>46228</v>
      </c>
      <c r="B392" s="23" t="s">
        <v>20</v>
      </c>
      <c r="C392" s="9"/>
      <c r="D392" s="85" t="str">
        <f>Table33[[#This Row],[EVENTO 1 PRESC.]]&amp;" + "&amp;Table33[[#This Row],[EVENTO 2 PRESC.]]</f>
        <v xml:space="preserve"> + </v>
      </c>
      <c r="E392" s="85" t="str">
        <f>Table334[[#This Row],[EVENTO 1 PYP]]&amp;" + "&amp;Table334[[#This Row],[EVENTO 2 PYP]]</f>
        <v xml:space="preserve"> + </v>
      </c>
      <c r="F392" s="85" t="str">
        <f>Table3345[[#This Row],[EVENTO 1 MYP]]&amp;" + "&amp;Table3345[[#This Row],[EVENTO 2 MYP]]</f>
        <v xml:space="preserve"> + </v>
      </c>
      <c r="G392" s="85" t="str">
        <f>Table33456[[#This Row],[EVENTO 1 DP]]&amp;" + "&amp;Table33456[[#This Row],[EVENTO 2 DP]]</f>
        <v xml:space="preserve"> + </v>
      </c>
      <c r="H392" s="85"/>
      <c r="I392" s="88"/>
      <c r="J392" s="88"/>
      <c r="K392" s="20"/>
      <c r="L392" s="26"/>
      <c r="M392" s="8"/>
      <c r="N392" s="8"/>
      <c r="O392" s="29"/>
      <c r="P392" s="29"/>
      <c r="Q392" s="29"/>
      <c r="V392" s="1"/>
    </row>
    <row r="393" spans="1:22" ht="24" x14ac:dyDescent="0.2">
      <c r="A393" s="10">
        <v>46229</v>
      </c>
      <c r="B393" s="23" t="s">
        <v>20</v>
      </c>
      <c r="C393" s="9"/>
      <c r="D393" s="85" t="str">
        <f>Table33[[#This Row],[EVENTO 1 PRESC.]]&amp;" + "&amp;Table33[[#This Row],[EVENTO 2 PRESC.]]</f>
        <v xml:space="preserve"> + </v>
      </c>
      <c r="E393" s="85" t="str">
        <f>Table334[[#This Row],[EVENTO 1 PYP]]&amp;" + "&amp;Table334[[#This Row],[EVENTO 2 PYP]]</f>
        <v xml:space="preserve"> + </v>
      </c>
      <c r="F393" s="85" t="str">
        <f>Table3345[[#This Row],[EVENTO 1 MYP]]&amp;" + "&amp;Table3345[[#This Row],[EVENTO 2 MYP]]</f>
        <v xml:space="preserve"> + </v>
      </c>
      <c r="G393" s="85" t="str">
        <f>Table33456[[#This Row],[EVENTO 1 DP]]&amp;" + "&amp;Table33456[[#This Row],[EVENTO 2 DP]]</f>
        <v xml:space="preserve"> + </v>
      </c>
      <c r="H393" s="85"/>
      <c r="I393" s="88"/>
      <c r="J393" s="88"/>
      <c r="K393" s="20"/>
      <c r="L393" s="26"/>
      <c r="M393" s="8"/>
      <c r="N393" s="8"/>
      <c r="O393" s="29"/>
      <c r="P393" s="29"/>
      <c r="Q393" s="29"/>
      <c r="V393" s="1"/>
    </row>
    <row r="394" spans="1:22" ht="24" x14ac:dyDescent="0.2">
      <c r="A394" s="7">
        <v>46230</v>
      </c>
      <c r="B394" s="24" t="s">
        <v>21</v>
      </c>
      <c r="C394" s="6" t="s">
        <v>24</v>
      </c>
      <c r="D394" s="91" t="str">
        <f>Table33[[#This Row],[EVENTO 1 PRESC.]]&amp;" + "&amp;Table33[[#This Row],[EVENTO 2 PRESC.]]</f>
        <v xml:space="preserve"> + </v>
      </c>
      <c r="E394" s="91" t="str">
        <f>Table334[[#This Row],[EVENTO 1 PYP]]&amp;" + "&amp;Table334[[#This Row],[EVENTO 2 PYP]]</f>
        <v xml:space="preserve"> + </v>
      </c>
      <c r="F394" s="91" t="str">
        <f>Table3345[[#This Row],[EVENTO 1 MYP]]&amp;" + "&amp;Table3345[[#This Row],[EVENTO 2 MYP]]</f>
        <v xml:space="preserve"> + </v>
      </c>
      <c r="G394" s="91" t="str">
        <f>Table33456[[#This Row],[EVENTO 1 DP]]&amp;" + "&amp;Table33456[[#This Row],[EVENTO 2 DP]]</f>
        <v xml:space="preserve"> + </v>
      </c>
      <c r="H394" s="91"/>
      <c r="I394" s="92"/>
      <c r="J394" s="92"/>
      <c r="K394" s="21"/>
      <c r="L394" s="27"/>
      <c r="M394" s="5"/>
      <c r="N394" s="5"/>
      <c r="O394" s="29"/>
      <c r="P394" s="29"/>
      <c r="Q394" s="29"/>
      <c r="V394" s="1"/>
    </row>
    <row r="395" spans="1:22" ht="24" x14ac:dyDescent="0.2">
      <c r="A395" s="7">
        <v>46231</v>
      </c>
      <c r="B395" s="24" t="s">
        <v>21</v>
      </c>
      <c r="C395" s="6"/>
      <c r="D395" s="91" t="str">
        <f>Table33[[#This Row],[EVENTO 1 PRESC.]]&amp;" + "&amp;Table33[[#This Row],[EVENTO 2 PRESC.]]</f>
        <v xml:space="preserve"> + </v>
      </c>
      <c r="E395" s="91" t="str">
        <f>Table334[[#This Row],[EVENTO 1 PYP]]&amp;" + "&amp;Table334[[#This Row],[EVENTO 2 PYP]]</f>
        <v xml:space="preserve"> + </v>
      </c>
      <c r="F395" s="91" t="str">
        <f>Table3345[[#This Row],[EVENTO 1 MYP]]&amp;" + "&amp;Table3345[[#This Row],[EVENTO 2 MYP]]</f>
        <v xml:space="preserve"> + </v>
      </c>
      <c r="G395" s="91" t="str">
        <f>Table33456[[#This Row],[EVENTO 1 DP]]&amp;" + "&amp;Table33456[[#This Row],[EVENTO 2 DP]]</f>
        <v xml:space="preserve"> + </v>
      </c>
      <c r="H395" s="91"/>
      <c r="I395" s="92"/>
      <c r="J395" s="92"/>
      <c r="K395" s="21"/>
      <c r="L395" s="27"/>
      <c r="M395" s="5"/>
      <c r="N395" s="5"/>
      <c r="O395" s="29"/>
      <c r="P395" s="29"/>
      <c r="Q395" s="29"/>
      <c r="V395" s="1"/>
    </row>
    <row r="396" spans="1:22" ht="24" x14ac:dyDescent="0.2">
      <c r="A396" s="7">
        <v>46232</v>
      </c>
      <c r="B396" s="24" t="s">
        <v>21</v>
      </c>
      <c r="C396" s="6" t="s">
        <v>25</v>
      </c>
      <c r="D396" s="91" t="str">
        <f>Table33[[#This Row],[EVENTO 1 PRESC.]]&amp;" + "&amp;Table33[[#This Row],[EVENTO 2 PRESC.]]</f>
        <v xml:space="preserve"> + </v>
      </c>
      <c r="E396" s="91" t="str">
        <f>Table334[[#This Row],[EVENTO 1 PYP]]&amp;" + "&amp;Table334[[#This Row],[EVENTO 2 PYP]]</f>
        <v xml:space="preserve"> + </v>
      </c>
      <c r="F396" s="91" t="str">
        <f>Table3345[[#This Row],[EVENTO 1 MYP]]&amp;" + "&amp;Table3345[[#This Row],[EVENTO 2 MYP]]</f>
        <v xml:space="preserve"> + </v>
      </c>
      <c r="G396" s="91" t="str">
        <f>Table33456[[#This Row],[EVENTO 1 DP]]&amp;" + "&amp;Table33456[[#This Row],[EVENTO 2 DP]]</f>
        <v xml:space="preserve"> + </v>
      </c>
      <c r="H396" s="91"/>
      <c r="I396" s="92"/>
      <c r="J396" s="92"/>
      <c r="K396" s="21"/>
      <c r="L396" s="27"/>
      <c r="M396" s="5"/>
      <c r="N396" s="5"/>
      <c r="O396" s="29"/>
      <c r="P396" s="29"/>
      <c r="Q396" s="29"/>
      <c r="V396" s="1"/>
    </row>
    <row r="397" spans="1:22" ht="24" x14ac:dyDescent="0.2">
      <c r="A397" s="7">
        <v>46233</v>
      </c>
      <c r="B397" s="24" t="s">
        <v>21</v>
      </c>
      <c r="C397" s="6"/>
      <c r="D397" s="91" t="str">
        <f>Table33[[#This Row],[EVENTO 1 PRESC.]]&amp;" + "&amp;Table33[[#This Row],[EVENTO 2 PRESC.]]</f>
        <v xml:space="preserve"> + </v>
      </c>
      <c r="E397" s="91" t="str">
        <f>Table334[[#This Row],[EVENTO 1 PYP]]&amp;" + "&amp;Table334[[#This Row],[EVENTO 2 PYP]]</f>
        <v xml:space="preserve"> + </v>
      </c>
      <c r="F397" s="91" t="str">
        <f>Table3345[[#This Row],[EVENTO 1 MYP]]&amp;" + "&amp;Table3345[[#This Row],[EVENTO 2 MYP]]</f>
        <v xml:space="preserve"> + </v>
      </c>
      <c r="G397" s="91" t="str">
        <f>Table33456[[#This Row],[EVENTO 1 DP]]&amp;" + "&amp;Table33456[[#This Row],[EVENTO 2 DP]]</f>
        <v xml:space="preserve"> + </v>
      </c>
      <c r="H397" s="91"/>
      <c r="I397" s="92"/>
      <c r="J397" s="92"/>
      <c r="K397" s="21"/>
      <c r="L397" s="27"/>
      <c r="M397" s="5"/>
      <c r="N397" s="5"/>
      <c r="O397" s="29"/>
      <c r="P397" s="29"/>
      <c r="Q397" s="29"/>
      <c r="V397" s="1"/>
    </row>
    <row r="398" spans="1:22" ht="24" x14ac:dyDescent="0.2">
      <c r="A398" s="7">
        <v>46234</v>
      </c>
      <c r="B398" s="24" t="s">
        <v>21</v>
      </c>
      <c r="C398" s="6"/>
      <c r="D398" s="91" t="str">
        <f>Table33[[#This Row],[EVENTO 1 PRESC.]]&amp;" + "&amp;Table33[[#This Row],[EVENTO 2 PRESC.]]</f>
        <v xml:space="preserve"> + </v>
      </c>
      <c r="E398" s="91" t="str">
        <f>Table334[[#This Row],[EVENTO 1 PYP]]&amp;" + "&amp;Table334[[#This Row],[EVENTO 2 PYP]]</f>
        <v xml:space="preserve"> + </v>
      </c>
      <c r="F398" s="91" t="str">
        <f>Table3345[[#This Row],[EVENTO 1 MYP]]&amp;" + "&amp;Table3345[[#This Row],[EVENTO 2 MYP]]</f>
        <v xml:space="preserve"> + </v>
      </c>
      <c r="G398" s="91" t="str">
        <f>Table33456[[#This Row],[EVENTO 1 DP]]&amp;" + "&amp;Table33456[[#This Row],[EVENTO 2 DP]]</f>
        <v xml:space="preserve"> + </v>
      </c>
      <c r="H398" s="91"/>
      <c r="I398" s="92"/>
      <c r="J398" s="92"/>
      <c r="K398" s="21"/>
      <c r="L398" s="27"/>
      <c r="M398" s="5"/>
      <c r="N398" s="5"/>
      <c r="O398" s="29"/>
      <c r="P398" s="29"/>
      <c r="Q398" s="29"/>
      <c r="V398" s="1"/>
    </row>
    <row r="399" spans="1:22" ht="24" x14ac:dyDescent="0.2">
      <c r="A399" s="10">
        <v>46235</v>
      </c>
      <c r="B399" s="23" t="s">
        <v>20</v>
      </c>
      <c r="C399" s="34"/>
      <c r="D399" s="102" t="str">
        <f>Table33[[#This Row],[EVENTO 1 PRESC.]]&amp;" + "&amp;Table33[[#This Row],[EVENTO 2 PRESC.]]</f>
        <v xml:space="preserve"> + </v>
      </c>
      <c r="E399" s="102" t="str">
        <f>Table334[[#This Row],[EVENTO 1 PYP]]&amp;" + "&amp;Table334[[#This Row],[EVENTO 2 PYP]]</f>
        <v xml:space="preserve"> + </v>
      </c>
      <c r="F399" s="102" t="str">
        <f>Table3345[[#This Row],[EVENTO 1 MYP]]&amp;" + "&amp;Table3345[[#This Row],[EVENTO 2 MYP]]</f>
        <v xml:space="preserve"> + </v>
      </c>
      <c r="G399" s="102" t="str">
        <f>Table33456[[#This Row],[EVENTO 1 DP]]&amp;" + "&amp;Table33456[[#This Row],[EVENTO 2 DP]]</f>
        <v xml:space="preserve"> + </v>
      </c>
      <c r="H399" s="102"/>
      <c r="I399" s="103"/>
      <c r="J399" s="103"/>
      <c r="K399" s="35"/>
      <c r="L399" s="26"/>
      <c r="M399" s="8"/>
      <c r="N399" s="8"/>
      <c r="O399" s="36"/>
      <c r="P399" s="36"/>
      <c r="Q399" s="36"/>
      <c r="V399" s="1"/>
    </row>
    <row r="400" spans="1:22" ht="24" x14ac:dyDescent="0.2">
      <c r="A400" s="10">
        <v>46236</v>
      </c>
      <c r="B400" s="23" t="s">
        <v>20</v>
      </c>
      <c r="C400" s="34"/>
      <c r="D400" s="102" t="str">
        <f>Table33[[#This Row],[EVENTO 1 PRESC.]]&amp;" + "&amp;Table33[[#This Row],[EVENTO 2 PRESC.]]</f>
        <v xml:space="preserve"> + </v>
      </c>
      <c r="E400" s="102" t="str">
        <f>Table334[[#This Row],[EVENTO 1 PYP]]&amp;" + "&amp;Table334[[#This Row],[EVENTO 2 PYP]]</f>
        <v xml:space="preserve"> + </v>
      </c>
      <c r="F400" s="102" t="str">
        <f>Table3345[[#This Row],[EVENTO 1 MYP]]&amp;" + "&amp;Table3345[[#This Row],[EVENTO 2 MYP]]</f>
        <v xml:space="preserve"> + </v>
      </c>
      <c r="G400" s="102" t="str">
        <f>Table33456[[#This Row],[EVENTO 1 DP]]&amp;" + "&amp;Table33456[[#This Row],[EVENTO 2 DP]]</f>
        <v xml:space="preserve"> + </v>
      </c>
      <c r="H400" s="102"/>
      <c r="I400" s="103"/>
      <c r="J400" s="103"/>
      <c r="K400" s="35"/>
      <c r="L400" s="26"/>
      <c r="M400" s="8"/>
      <c r="N400" s="8"/>
      <c r="O400" s="36"/>
      <c r="P400" s="36"/>
      <c r="Q400" s="36"/>
      <c r="V400" s="1"/>
    </row>
    <row r="401" spans="1:22" ht="24" x14ac:dyDescent="0.2">
      <c r="A401" s="7">
        <v>46237</v>
      </c>
      <c r="B401" s="24" t="s">
        <v>23</v>
      </c>
      <c r="C401" s="16"/>
      <c r="D401" s="104" t="str">
        <f>Table33[[#This Row],[EVENTO 1 PRESC.]]&amp;" + "&amp;Table33[[#This Row],[EVENTO 2 PRESC.]]</f>
        <v xml:space="preserve"> + </v>
      </c>
      <c r="E401" s="104" t="str">
        <f>Table334[[#This Row],[EVENTO 1 PYP]]&amp;" + "&amp;Table334[[#This Row],[EVENTO 2 PYP]]</f>
        <v xml:space="preserve"> + </v>
      </c>
      <c r="F401" s="104" t="str">
        <f>Table3345[[#This Row],[EVENTO 1 MYP]]&amp;" + "&amp;Table3345[[#This Row],[EVENTO 2 MYP]]</f>
        <v xml:space="preserve"> + </v>
      </c>
      <c r="G401" s="104" t="str">
        <f>Table33456[[#This Row],[EVENTO 1 DP]]&amp;" + "&amp;Table33456[[#This Row],[EVENTO 2 DP]]</f>
        <v xml:space="preserve"> + </v>
      </c>
      <c r="H401" s="104"/>
      <c r="I401" s="105"/>
      <c r="J401" s="105"/>
      <c r="K401" s="31"/>
      <c r="L401" s="27"/>
      <c r="M401" s="5"/>
      <c r="N401" s="5"/>
      <c r="O401" s="29"/>
      <c r="P401" s="29"/>
      <c r="Q401" s="29"/>
      <c r="V401" s="1"/>
    </row>
    <row r="402" spans="1:22" ht="24" x14ac:dyDescent="0.2">
      <c r="A402" s="7">
        <v>46238</v>
      </c>
      <c r="B402" s="24"/>
      <c r="C402" s="16"/>
      <c r="D402" s="104" t="str">
        <f>Table33[[#This Row],[EVENTO 1 PRESC.]]&amp;" + "&amp;Table33[[#This Row],[EVENTO 2 PRESC.]]</f>
        <v xml:space="preserve"> + </v>
      </c>
      <c r="E402" s="104" t="str">
        <f>Table334[[#This Row],[EVENTO 1 PYP]]&amp;" + "&amp;Table334[[#This Row],[EVENTO 2 PYP]]</f>
        <v xml:space="preserve"> + </v>
      </c>
      <c r="F402" s="104" t="str">
        <f>Table3345[[#This Row],[EVENTO 1 MYP]]&amp;" + "&amp;Table3345[[#This Row],[EVENTO 2 MYP]]</f>
        <v xml:space="preserve"> + </v>
      </c>
      <c r="G402" s="104" t="str">
        <f>Table33456[[#This Row],[EVENTO 1 DP]]&amp;" + "&amp;Table33456[[#This Row],[EVENTO 2 DP]]</f>
        <v xml:space="preserve"> + </v>
      </c>
      <c r="H402" s="104"/>
      <c r="I402" s="105"/>
      <c r="J402" s="105"/>
      <c r="K402" s="31"/>
      <c r="L402" s="27"/>
      <c r="M402" s="5"/>
      <c r="N402" s="5"/>
      <c r="O402" s="29"/>
      <c r="P402" s="29"/>
      <c r="Q402" s="29"/>
      <c r="V402" s="1"/>
    </row>
    <row r="403" spans="1:22" ht="24" x14ac:dyDescent="0.2">
      <c r="A403" s="7">
        <v>46239</v>
      </c>
      <c r="B403" s="24"/>
      <c r="C403" s="16"/>
      <c r="D403" s="104" t="str">
        <f>Table33[[#This Row],[EVENTO 1 PRESC.]]&amp;" + "&amp;Table33[[#This Row],[EVENTO 2 PRESC.]]</f>
        <v xml:space="preserve"> + </v>
      </c>
      <c r="E403" s="104" t="str">
        <f>Table334[[#This Row],[EVENTO 1 PYP]]&amp;" + "&amp;Table334[[#This Row],[EVENTO 2 PYP]]</f>
        <v xml:space="preserve"> + </v>
      </c>
      <c r="F403" s="104" t="str">
        <f>Table3345[[#This Row],[EVENTO 1 MYP]]&amp;" + "&amp;Table3345[[#This Row],[EVENTO 2 MYP]]</f>
        <v xml:space="preserve"> + </v>
      </c>
      <c r="G403" s="104" t="str">
        <f>Table33456[[#This Row],[EVENTO 1 DP]]&amp;" + "&amp;Table33456[[#This Row],[EVENTO 2 DP]]</f>
        <v xml:space="preserve"> + </v>
      </c>
      <c r="H403" s="104"/>
      <c r="I403" s="105"/>
      <c r="J403" s="105"/>
      <c r="K403" s="31"/>
      <c r="L403" s="27"/>
      <c r="M403" s="5"/>
      <c r="N403" s="5"/>
      <c r="O403" s="29"/>
      <c r="P403" s="29"/>
      <c r="Q403" s="29"/>
      <c r="V403" s="1"/>
    </row>
    <row r="404" spans="1:22" ht="24" x14ac:dyDescent="0.2">
      <c r="A404" s="7">
        <v>46240</v>
      </c>
      <c r="B404" s="24"/>
      <c r="C404" s="16"/>
      <c r="D404" s="104" t="str">
        <f>Table33[[#This Row],[EVENTO 1 PRESC.]]&amp;" + "&amp;Table33[[#This Row],[EVENTO 2 PRESC.]]</f>
        <v xml:space="preserve"> + </v>
      </c>
      <c r="E404" s="104" t="str">
        <f>Table334[[#This Row],[EVENTO 1 PYP]]&amp;" + "&amp;Table334[[#This Row],[EVENTO 2 PYP]]</f>
        <v xml:space="preserve"> + </v>
      </c>
      <c r="F404" s="104" t="str">
        <f>Table3345[[#This Row],[EVENTO 1 MYP]]&amp;" + "&amp;Table3345[[#This Row],[EVENTO 2 MYP]]</f>
        <v xml:space="preserve"> + </v>
      </c>
      <c r="G404" s="104" t="str">
        <f>Table33456[[#This Row],[EVENTO 1 DP]]&amp;" + "&amp;Table33456[[#This Row],[EVENTO 2 DP]]</f>
        <v xml:space="preserve"> + </v>
      </c>
      <c r="H404" s="104"/>
      <c r="I404" s="105"/>
      <c r="J404" s="105"/>
      <c r="K404" s="31"/>
      <c r="L404" s="27"/>
      <c r="M404" s="5"/>
      <c r="N404" s="5"/>
      <c r="O404" s="29"/>
      <c r="P404" s="29"/>
      <c r="Q404" s="29"/>
      <c r="V404" s="1"/>
    </row>
    <row r="405" spans="1:22" ht="24" x14ac:dyDescent="0.2">
      <c r="A405" s="10">
        <v>46241</v>
      </c>
      <c r="B405" s="23" t="s">
        <v>17</v>
      </c>
      <c r="C405" s="34"/>
      <c r="D405" s="102" t="str">
        <f>Table33[[#This Row],[EVENTO 1 PRESC.]]&amp;" + "&amp;Table33[[#This Row],[EVENTO 2 PRESC.]]</f>
        <v xml:space="preserve"> + </v>
      </c>
      <c r="E405" s="102" t="str">
        <f>Table334[[#This Row],[EVENTO 1 PYP]]&amp;" + "&amp;Table334[[#This Row],[EVENTO 2 PYP]]</f>
        <v xml:space="preserve"> + </v>
      </c>
      <c r="F405" s="102" t="str">
        <f>Table3345[[#This Row],[EVENTO 1 MYP]]&amp;" + "&amp;Table3345[[#This Row],[EVENTO 2 MYP]]</f>
        <v xml:space="preserve"> + </v>
      </c>
      <c r="G405" s="102" t="str">
        <f>Table33456[[#This Row],[EVENTO 1 DP]]&amp;" + "&amp;Table33456[[#This Row],[EVENTO 2 DP]]</f>
        <v xml:space="preserve"> + </v>
      </c>
      <c r="H405" s="102"/>
      <c r="I405" s="103"/>
      <c r="J405" s="103"/>
      <c r="K405" s="35"/>
      <c r="L405" s="26"/>
      <c r="M405" s="8"/>
      <c r="N405" s="8"/>
      <c r="O405" s="36"/>
      <c r="P405" s="36"/>
      <c r="Q405" s="36"/>
      <c r="V405" s="1"/>
    </row>
    <row r="406" spans="1:22" ht="24" x14ac:dyDescent="0.2">
      <c r="A406" s="10">
        <v>46242</v>
      </c>
      <c r="B406" s="23" t="s">
        <v>20</v>
      </c>
      <c r="C406" s="34"/>
      <c r="D406" s="102" t="str">
        <f>Table33[[#This Row],[EVENTO 1 PRESC.]]&amp;" + "&amp;Table33[[#This Row],[EVENTO 2 PRESC.]]</f>
        <v xml:space="preserve"> + </v>
      </c>
      <c r="E406" s="102" t="str">
        <f>Table334[[#This Row],[EVENTO 1 PYP]]&amp;" + "&amp;Table334[[#This Row],[EVENTO 2 PYP]]</f>
        <v xml:space="preserve"> + </v>
      </c>
      <c r="F406" s="102" t="str">
        <f>Table3345[[#This Row],[EVENTO 1 MYP]]&amp;" + "&amp;Table3345[[#This Row],[EVENTO 2 MYP]]</f>
        <v xml:space="preserve"> + </v>
      </c>
      <c r="G406" s="102" t="str">
        <f>Table33456[[#This Row],[EVENTO 1 DP]]&amp;" + "&amp;Table33456[[#This Row],[EVENTO 2 DP]]</f>
        <v xml:space="preserve"> + </v>
      </c>
      <c r="H406" s="102"/>
      <c r="I406" s="103"/>
      <c r="J406" s="103"/>
      <c r="K406" s="35"/>
      <c r="L406" s="26"/>
      <c r="M406" s="8"/>
      <c r="N406" s="8"/>
      <c r="O406" s="36"/>
      <c r="P406" s="36"/>
      <c r="Q406" s="36"/>
      <c r="V406" s="1"/>
    </row>
    <row r="407" spans="1:22" ht="24" x14ac:dyDescent="0.2">
      <c r="A407" s="10">
        <v>46243</v>
      </c>
      <c r="B407" s="23" t="s">
        <v>20</v>
      </c>
      <c r="C407" s="34"/>
      <c r="D407" s="102" t="str">
        <f>Table33[[#This Row],[EVENTO 1 PRESC.]]&amp;" + "&amp;Table33[[#This Row],[EVENTO 2 PRESC.]]</f>
        <v xml:space="preserve"> + </v>
      </c>
      <c r="E407" s="102" t="str">
        <f>Table334[[#This Row],[EVENTO 1 PYP]]&amp;" + "&amp;Table334[[#This Row],[EVENTO 2 PYP]]</f>
        <v xml:space="preserve"> + </v>
      </c>
      <c r="F407" s="102" t="str">
        <f>Table3345[[#This Row],[EVENTO 1 MYP]]&amp;" + "&amp;Table3345[[#This Row],[EVENTO 2 MYP]]</f>
        <v xml:space="preserve"> + </v>
      </c>
      <c r="G407" s="102" t="str">
        <f>Table33456[[#This Row],[EVENTO 1 DP]]&amp;" + "&amp;Table33456[[#This Row],[EVENTO 2 DP]]</f>
        <v xml:space="preserve"> + </v>
      </c>
      <c r="H407" s="102"/>
      <c r="I407" s="103"/>
      <c r="J407" s="103"/>
      <c r="K407" s="35"/>
      <c r="L407" s="26"/>
      <c r="M407" s="8"/>
      <c r="N407" s="8"/>
      <c r="O407" s="36"/>
      <c r="P407" s="36"/>
      <c r="Q407" s="36"/>
      <c r="V407" s="1"/>
    </row>
    <row r="408" spans="1:22" ht="24" x14ac:dyDescent="0.2">
      <c r="A408" s="7">
        <v>46244</v>
      </c>
      <c r="B408" s="24"/>
      <c r="C408" s="16"/>
      <c r="D408" s="104" t="str">
        <f>Table33[[#This Row],[EVENTO 1 PRESC.]]&amp;" + "&amp;Table33[[#This Row],[EVENTO 2 PRESC.]]</f>
        <v xml:space="preserve"> + </v>
      </c>
      <c r="E408" s="104" t="str">
        <f>Table334[[#This Row],[EVENTO 1 PYP]]&amp;" + "&amp;Table334[[#This Row],[EVENTO 2 PYP]]</f>
        <v xml:space="preserve"> + </v>
      </c>
      <c r="F408" s="104" t="str">
        <f>Table3345[[#This Row],[EVENTO 1 MYP]]&amp;" + "&amp;Table3345[[#This Row],[EVENTO 2 MYP]]</f>
        <v xml:space="preserve"> + </v>
      </c>
      <c r="G408" s="104" t="str">
        <f>Table33456[[#This Row],[EVENTO 1 DP]]&amp;" + "&amp;Table33456[[#This Row],[EVENTO 2 DP]]</f>
        <v xml:space="preserve"> + </v>
      </c>
      <c r="H408" s="104"/>
      <c r="I408" s="105"/>
      <c r="J408" s="105"/>
      <c r="K408" s="31"/>
      <c r="L408" s="27"/>
      <c r="M408" s="5"/>
      <c r="N408" s="5"/>
      <c r="O408" s="29"/>
      <c r="P408" s="29"/>
      <c r="Q408" s="29"/>
      <c r="V408" s="1"/>
    </row>
  </sheetData>
  <sheetProtection algorithmName="SHA-512" hashValue="sSM8CIK/C56lKcesiUXK/40bEanpZDy+fGH9Wr8JJxqgbGxZpFMYIaE1NFcV3bX7voz5mecNPBNIlIQaCxkebg==" saltValue="ASuOM54ISYgumWXvOEPtPQ==" spinCount="100000" sheet="1" sort="0" autoFilter="0"/>
  <conditionalFormatting sqref="A2:A408">
    <cfRule type="cellIs" dxfId="6" priority="1" operator="equal">
      <formula>TODAY()</formula>
    </cfRule>
    <cfRule type="expression" dxfId="5" priority="2">
      <formula>WEEKDAY(A2,2)&gt;5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9292-1B3E-4E50-911A-79E1CF27A7B2}">
  <dimension ref="A1:P408"/>
  <sheetViews>
    <sheetView zoomScale="99" zoomScaleNormal="100" workbookViewId="0">
      <pane xSplit="1" ySplit="1" topLeftCell="C161" activePane="bottomRight" state="frozen"/>
      <selection pane="topRight" activeCell="B1" sqref="B1"/>
      <selection pane="bottomLeft" activeCell="A2" sqref="A2"/>
      <selection pane="bottomRight" activeCell="E172" sqref="E172"/>
    </sheetView>
  </sheetViews>
  <sheetFormatPr baseColWidth="10" defaultColWidth="8.5" defaultRowHeight="16.25" customHeight="1" x14ac:dyDescent="0.2"/>
  <cols>
    <col min="1" max="1" width="31.5" style="4" customWidth="1"/>
    <col min="2" max="2" width="8.5" style="2" customWidth="1"/>
    <col min="3" max="3" width="25.5" style="72" customWidth="1"/>
    <col min="4" max="5" width="52" style="3" customWidth="1"/>
    <col min="6" max="6" width="4.83203125" style="72" customWidth="1"/>
    <col min="7" max="7" width="4.83203125" style="2" customWidth="1"/>
    <col min="8" max="9" width="7.5" style="2" hidden="1" customWidth="1"/>
    <col min="10" max="10" width="17.5" style="2" hidden="1" customWidth="1"/>
    <col min="11" max="12" width="17.5" hidden="1" customWidth="1"/>
    <col min="13" max="16" width="20.83203125" customWidth="1"/>
    <col min="17" max="28" width="20.83203125" style="1" customWidth="1"/>
    <col min="29" max="16384" width="8.5" style="1"/>
  </cols>
  <sheetData>
    <row r="1" spans="1:16" s="11" customFormat="1" ht="36.5" customHeight="1" x14ac:dyDescent="0.3">
      <c r="A1" s="15" t="s">
        <v>0</v>
      </c>
      <c r="B1" s="54" t="s">
        <v>1</v>
      </c>
      <c r="C1" s="55" t="s">
        <v>131</v>
      </c>
      <c r="D1" s="30" t="s">
        <v>132</v>
      </c>
      <c r="E1" s="30" t="s">
        <v>133</v>
      </c>
      <c r="F1" s="73" t="s">
        <v>10</v>
      </c>
      <c r="G1" s="73" t="s">
        <v>11</v>
      </c>
      <c r="H1" s="12" t="s">
        <v>12</v>
      </c>
      <c r="I1" s="12" t="s">
        <v>13</v>
      </c>
      <c r="J1" s="30" t="s">
        <v>14</v>
      </c>
      <c r="K1" s="30" t="s">
        <v>15</v>
      </c>
      <c r="L1" s="30" t="s">
        <v>16</v>
      </c>
    </row>
    <row r="2" spans="1:16" ht="16.25" customHeight="1" x14ac:dyDescent="0.2">
      <c r="A2" s="10">
        <v>45838</v>
      </c>
      <c r="B2" s="56" t="s">
        <v>17</v>
      </c>
      <c r="C2" s="57"/>
      <c r="D2" s="74"/>
      <c r="E2" s="74"/>
      <c r="F2" s="20"/>
      <c r="G2" s="26"/>
      <c r="H2" s="8"/>
      <c r="I2" s="8"/>
      <c r="J2" s="29"/>
      <c r="K2" s="29"/>
      <c r="L2" s="29"/>
      <c r="P2" s="1"/>
    </row>
    <row r="3" spans="1:16" ht="16.25" customHeight="1" x14ac:dyDescent="0.2">
      <c r="A3" s="7">
        <v>45839</v>
      </c>
      <c r="B3" s="58" t="s">
        <v>18</v>
      </c>
      <c r="C3" s="59" t="s">
        <v>19</v>
      </c>
      <c r="D3" s="75"/>
      <c r="E3" s="75"/>
      <c r="F3" s="21"/>
      <c r="G3" s="27"/>
      <c r="H3" s="5"/>
      <c r="I3" s="5"/>
      <c r="J3" s="29"/>
      <c r="K3" s="29"/>
      <c r="L3" s="29"/>
      <c r="P3" s="1"/>
    </row>
    <row r="4" spans="1:16" ht="16.25" customHeight="1" x14ac:dyDescent="0.2">
      <c r="A4" s="7">
        <v>45840</v>
      </c>
      <c r="B4" s="58" t="s">
        <v>18</v>
      </c>
      <c r="C4" s="59" t="s">
        <v>19</v>
      </c>
      <c r="D4" s="75"/>
      <c r="E4" s="75"/>
      <c r="F4" s="21"/>
      <c r="G4" s="27"/>
      <c r="H4" s="5"/>
      <c r="I4" s="5"/>
      <c r="J4" s="29"/>
      <c r="K4" s="29"/>
      <c r="L4" s="29"/>
      <c r="P4" s="1"/>
    </row>
    <row r="5" spans="1:16" ht="16.25" customHeight="1" x14ac:dyDescent="0.2">
      <c r="A5" s="7">
        <v>45841</v>
      </c>
      <c r="B5" s="58" t="s">
        <v>18</v>
      </c>
      <c r="C5" s="59" t="s">
        <v>19</v>
      </c>
      <c r="D5" s="75"/>
      <c r="E5" s="75"/>
      <c r="F5" s="21"/>
      <c r="G5" s="27"/>
      <c r="H5" s="5"/>
      <c r="I5" s="5"/>
      <c r="J5" s="29"/>
      <c r="K5" s="29"/>
      <c r="L5" s="29"/>
      <c r="P5" s="1"/>
    </row>
    <row r="6" spans="1:16" ht="16.25" customHeight="1" x14ac:dyDescent="0.2">
      <c r="A6" s="7">
        <v>45842</v>
      </c>
      <c r="B6" s="58" t="s">
        <v>18</v>
      </c>
      <c r="C6" s="59" t="s">
        <v>19</v>
      </c>
      <c r="D6" s="75"/>
      <c r="E6" s="75"/>
      <c r="F6" s="21"/>
      <c r="G6" s="27"/>
      <c r="H6" s="5"/>
      <c r="I6" s="5"/>
      <c r="J6" s="29"/>
      <c r="K6" s="29"/>
      <c r="L6" s="29"/>
      <c r="P6" s="1"/>
    </row>
    <row r="7" spans="1:16" ht="16.25" customHeight="1" x14ac:dyDescent="0.2">
      <c r="A7" s="10">
        <v>45843</v>
      </c>
      <c r="B7" s="56" t="s">
        <v>20</v>
      </c>
      <c r="C7" s="57"/>
      <c r="D7" s="74"/>
      <c r="E7" s="74"/>
      <c r="F7" s="20"/>
      <c r="G7" s="26"/>
      <c r="H7" s="8"/>
      <c r="I7" s="8"/>
      <c r="J7" s="29"/>
      <c r="K7" s="29"/>
      <c r="L7" s="29"/>
      <c r="P7" s="1"/>
    </row>
    <row r="8" spans="1:16" ht="16.25" customHeight="1" x14ac:dyDescent="0.2">
      <c r="A8" s="10">
        <v>45844</v>
      </c>
      <c r="B8" s="56" t="s">
        <v>20</v>
      </c>
      <c r="C8" s="57"/>
      <c r="D8" s="74"/>
      <c r="E8" s="74"/>
      <c r="F8" s="20"/>
      <c r="G8" s="26"/>
      <c r="H8" s="8"/>
      <c r="I8" s="8"/>
      <c r="J8" s="29"/>
      <c r="K8" s="29"/>
      <c r="L8" s="29"/>
      <c r="P8" s="1"/>
    </row>
    <row r="9" spans="1:16" ht="16.25" customHeight="1" x14ac:dyDescent="0.2">
      <c r="A9" s="7">
        <v>45845</v>
      </c>
      <c r="B9" s="58" t="s">
        <v>18</v>
      </c>
      <c r="C9" s="59" t="s">
        <v>19</v>
      </c>
      <c r="D9" s="75"/>
      <c r="E9" s="75"/>
      <c r="F9" s="21"/>
      <c r="G9" s="27"/>
      <c r="H9" s="5"/>
      <c r="I9" s="5"/>
      <c r="J9" s="29"/>
      <c r="K9" s="29"/>
      <c r="L9" s="29"/>
      <c r="P9" s="1"/>
    </row>
    <row r="10" spans="1:16" ht="16.25" customHeight="1" x14ac:dyDescent="0.2">
      <c r="A10" s="7">
        <v>45846</v>
      </c>
      <c r="B10" s="58" t="s">
        <v>18</v>
      </c>
      <c r="C10" s="59" t="s">
        <v>19</v>
      </c>
      <c r="D10" s="75"/>
      <c r="E10" s="75"/>
      <c r="F10" s="21"/>
      <c r="G10" s="27"/>
      <c r="H10" s="5"/>
      <c r="I10" s="5"/>
      <c r="J10" s="29"/>
      <c r="K10" s="29"/>
      <c r="L10" s="29"/>
      <c r="P10" s="1"/>
    </row>
    <row r="11" spans="1:16" ht="16.25" customHeight="1" x14ac:dyDescent="0.2">
      <c r="A11" s="7">
        <v>45847</v>
      </c>
      <c r="B11" s="58" t="s">
        <v>18</v>
      </c>
      <c r="C11" s="59" t="s">
        <v>19</v>
      </c>
      <c r="D11" s="75"/>
      <c r="E11" s="75"/>
      <c r="F11" s="21"/>
      <c r="G11" s="27"/>
      <c r="H11" s="5"/>
      <c r="I11" s="5"/>
      <c r="J11" s="29"/>
      <c r="K11" s="29"/>
      <c r="L11" s="29"/>
      <c r="P11" s="1"/>
    </row>
    <row r="12" spans="1:16" ht="16.25" customHeight="1" x14ac:dyDescent="0.2">
      <c r="A12" s="7">
        <v>45848</v>
      </c>
      <c r="B12" s="58" t="s">
        <v>18</v>
      </c>
      <c r="C12" s="59" t="s">
        <v>19</v>
      </c>
      <c r="D12" s="75"/>
      <c r="E12" s="75"/>
      <c r="F12" s="21"/>
      <c r="G12" s="27"/>
      <c r="H12" s="5"/>
      <c r="I12" s="5"/>
      <c r="J12" s="29"/>
      <c r="K12" s="29"/>
      <c r="L12" s="29"/>
      <c r="P12" s="1"/>
    </row>
    <row r="13" spans="1:16" ht="16.25" customHeight="1" x14ac:dyDescent="0.2">
      <c r="A13" s="7">
        <v>45849</v>
      </c>
      <c r="B13" s="58" t="s">
        <v>18</v>
      </c>
      <c r="C13" s="59" t="s">
        <v>19</v>
      </c>
      <c r="D13" s="75"/>
      <c r="E13" s="75"/>
      <c r="F13" s="21"/>
      <c r="G13" s="27"/>
      <c r="H13" s="5"/>
      <c r="I13" s="5"/>
      <c r="J13" s="29"/>
      <c r="K13" s="29"/>
      <c r="L13" s="29"/>
      <c r="P13" s="1"/>
    </row>
    <row r="14" spans="1:16" ht="16.25" customHeight="1" x14ac:dyDescent="0.2">
      <c r="A14" s="10">
        <v>45850</v>
      </c>
      <c r="B14" s="56" t="s">
        <v>20</v>
      </c>
      <c r="C14" s="57"/>
      <c r="D14" s="74"/>
      <c r="E14" s="74"/>
      <c r="F14" s="20"/>
      <c r="G14" s="26"/>
      <c r="H14" s="8"/>
      <c r="I14" s="8"/>
      <c r="J14" s="29"/>
      <c r="K14" s="29"/>
      <c r="L14" s="29"/>
      <c r="P14" s="1"/>
    </row>
    <row r="15" spans="1:16" ht="16.25" customHeight="1" x14ac:dyDescent="0.2">
      <c r="A15" s="10">
        <v>45851</v>
      </c>
      <c r="B15" s="56" t="s">
        <v>20</v>
      </c>
      <c r="C15" s="57"/>
      <c r="D15" s="74"/>
      <c r="E15" s="74"/>
      <c r="F15" s="20"/>
      <c r="G15" s="26"/>
      <c r="H15" s="8"/>
      <c r="I15" s="8"/>
      <c r="J15" s="29"/>
      <c r="K15" s="29"/>
      <c r="L15" s="29"/>
      <c r="P15" s="1"/>
    </row>
    <row r="16" spans="1:16" ht="16.25" customHeight="1" x14ac:dyDescent="0.2">
      <c r="A16" s="7">
        <v>45852</v>
      </c>
      <c r="B16" s="58" t="s">
        <v>18</v>
      </c>
      <c r="C16" s="59" t="s">
        <v>19</v>
      </c>
      <c r="D16" s="75"/>
      <c r="E16" s="75"/>
      <c r="F16" s="21"/>
      <c r="G16" s="27"/>
      <c r="H16" s="5"/>
      <c r="I16" s="5"/>
      <c r="J16" s="29"/>
      <c r="K16" s="29"/>
      <c r="L16" s="29"/>
      <c r="P16" s="1"/>
    </row>
    <row r="17" spans="1:16" ht="16.25" customHeight="1" x14ac:dyDescent="0.2">
      <c r="A17" s="7">
        <v>45853</v>
      </c>
      <c r="B17" s="58" t="s">
        <v>18</v>
      </c>
      <c r="C17" s="59" t="s">
        <v>19</v>
      </c>
      <c r="D17" s="75"/>
      <c r="E17" s="75"/>
      <c r="F17" s="21"/>
      <c r="G17" s="27"/>
      <c r="H17" s="5"/>
      <c r="I17" s="5"/>
      <c r="J17" s="29"/>
      <c r="K17" s="29"/>
      <c r="L17" s="29"/>
      <c r="P17" s="1"/>
    </row>
    <row r="18" spans="1:16" ht="16.25" customHeight="1" x14ac:dyDescent="0.2">
      <c r="A18" s="7">
        <v>45854</v>
      </c>
      <c r="B18" s="58" t="s">
        <v>18</v>
      </c>
      <c r="C18" s="59" t="s">
        <v>19</v>
      </c>
      <c r="D18" s="75"/>
      <c r="E18" s="75"/>
      <c r="F18" s="21"/>
      <c r="G18" s="27"/>
      <c r="H18" s="5"/>
      <c r="I18" s="5"/>
      <c r="J18" s="29"/>
      <c r="K18" s="29"/>
      <c r="L18" s="29"/>
      <c r="P18" s="1"/>
    </row>
    <row r="19" spans="1:16" ht="16.25" customHeight="1" x14ac:dyDescent="0.2">
      <c r="A19" s="7">
        <v>45855</v>
      </c>
      <c r="B19" s="58" t="s">
        <v>18</v>
      </c>
      <c r="C19" s="59" t="s">
        <v>19</v>
      </c>
      <c r="D19" s="75"/>
      <c r="E19" s="75"/>
      <c r="F19" s="21"/>
      <c r="G19" s="27"/>
      <c r="H19" s="5"/>
      <c r="I19" s="5"/>
      <c r="J19" s="29"/>
      <c r="K19" s="29"/>
      <c r="L19" s="29"/>
      <c r="P19" s="1"/>
    </row>
    <row r="20" spans="1:16" ht="16.25" customHeight="1" x14ac:dyDescent="0.2">
      <c r="A20" s="7">
        <v>45856</v>
      </c>
      <c r="B20" s="58" t="s">
        <v>18</v>
      </c>
      <c r="C20" s="59" t="s">
        <v>19</v>
      </c>
      <c r="D20" s="75"/>
      <c r="E20" s="75"/>
      <c r="F20" s="21"/>
      <c r="G20" s="27"/>
      <c r="H20" s="5"/>
      <c r="I20" s="5"/>
      <c r="J20" s="29"/>
      <c r="K20" s="29"/>
      <c r="L20" s="29"/>
      <c r="P20" s="1"/>
    </row>
    <row r="21" spans="1:16" ht="16.25" customHeight="1" x14ac:dyDescent="0.2">
      <c r="A21" s="10">
        <v>45857</v>
      </c>
      <c r="B21" s="56" t="s">
        <v>20</v>
      </c>
      <c r="C21" s="57"/>
      <c r="D21" s="74"/>
      <c r="E21" s="74"/>
      <c r="F21" s="20"/>
      <c r="G21" s="26"/>
      <c r="H21" s="8"/>
      <c r="I21" s="8"/>
      <c r="J21" s="29"/>
      <c r="K21" s="29"/>
      <c r="L21" s="29"/>
      <c r="P21" s="1"/>
    </row>
    <row r="22" spans="1:16" ht="16.25" customHeight="1" x14ac:dyDescent="0.2">
      <c r="A22" s="10">
        <v>45858</v>
      </c>
      <c r="B22" s="56" t="s">
        <v>17</v>
      </c>
      <c r="C22" s="57"/>
      <c r="D22" s="74"/>
      <c r="E22" s="74"/>
      <c r="F22" s="20"/>
      <c r="G22" s="26"/>
      <c r="H22" s="8"/>
      <c r="I22" s="8"/>
      <c r="J22" s="29"/>
      <c r="K22" s="29"/>
      <c r="L22" s="29"/>
      <c r="P22" s="1"/>
    </row>
    <row r="23" spans="1:16" ht="16.25" customHeight="1" x14ac:dyDescent="0.2">
      <c r="A23" s="7">
        <v>45859</v>
      </c>
      <c r="B23" s="58" t="s">
        <v>21</v>
      </c>
      <c r="C23" s="60" t="s">
        <v>22</v>
      </c>
      <c r="D23" s="76"/>
      <c r="E23" s="76"/>
      <c r="F23" s="21"/>
      <c r="G23" s="27"/>
      <c r="H23" s="5"/>
      <c r="I23" s="5"/>
      <c r="J23" s="29"/>
      <c r="K23" s="29"/>
      <c r="L23" s="29"/>
      <c r="P23" s="1"/>
    </row>
    <row r="24" spans="1:16" ht="16.25" customHeight="1" x14ac:dyDescent="0.2">
      <c r="A24" s="7">
        <v>45860</v>
      </c>
      <c r="B24" s="58" t="s">
        <v>21</v>
      </c>
      <c r="C24" s="60"/>
      <c r="D24" s="76"/>
      <c r="E24" s="76"/>
      <c r="F24" s="21"/>
      <c r="G24" s="27"/>
      <c r="H24" s="5"/>
      <c r="I24" s="5"/>
      <c r="J24" s="29"/>
      <c r="K24" s="29"/>
      <c r="L24" s="29"/>
      <c r="P24" s="1"/>
    </row>
    <row r="25" spans="1:16" ht="16.25" customHeight="1" x14ac:dyDescent="0.2">
      <c r="A25" s="7">
        <v>45861</v>
      </c>
      <c r="B25" s="58" t="s">
        <v>21</v>
      </c>
      <c r="C25" s="60"/>
      <c r="D25" s="76"/>
      <c r="E25" s="76"/>
      <c r="F25" s="21"/>
      <c r="G25" s="27"/>
      <c r="H25" s="5"/>
      <c r="I25" s="5"/>
      <c r="J25" s="29"/>
      <c r="K25" s="29"/>
      <c r="L25" s="29"/>
      <c r="P25" s="1"/>
    </row>
    <row r="26" spans="1:16" ht="16.25" customHeight="1" x14ac:dyDescent="0.2">
      <c r="A26" s="7">
        <v>45862</v>
      </c>
      <c r="B26" s="58" t="s">
        <v>21</v>
      </c>
      <c r="C26" s="60"/>
      <c r="D26" s="76"/>
      <c r="E26" s="76"/>
      <c r="F26" s="21"/>
      <c r="G26" s="27"/>
      <c r="H26" s="5"/>
      <c r="I26" s="5"/>
      <c r="J26" s="29"/>
      <c r="K26" s="29"/>
      <c r="L26" s="29"/>
      <c r="P26" s="1"/>
    </row>
    <row r="27" spans="1:16" ht="16.25" customHeight="1" x14ac:dyDescent="0.2">
      <c r="A27" s="7">
        <v>45863</v>
      </c>
      <c r="B27" s="58" t="s">
        <v>21</v>
      </c>
      <c r="C27" s="60"/>
      <c r="D27" s="76"/>
      <c r="E27" s="76"/>
      <c r="F27" s="21"/>
      <c r="G27" s="27"/>
      <c r="H27" s="5"/>
      <c r="I27" s="5"/>
      <c r="J27" s="29"/>
      <c r="K27" s="29"/>
      <c r="L27" s="29"/>
      <c r="P27" s="1"/>
    </row>
    <row r="28" spans="1:16" ht="16.25" customHeight="1" x14ac:dyDescent="0.2">
      <c r="A28" s="10">
        <v>45864</v>
      </c>
      <c r="B28" s="56" t="s">
        <v>20</v>
      </c>
      <c r="C28" s="57"/>
      <c r="D28" s="74"/>
      <c r="E28" s="74"/>
      <c r="F28" s="20"/>
      <c r="G28" s="26"/>
      <c r="H28" s="8"/>
      <c r="I28" s="8"/>
      <c r="J28" s="29"/>
      <c r="K28" s="29"/>
      <c r="L28" s="29"/>
      <c r="P28" s="1"/>
    </row>
    <row r="29" spans="1:16" ht="16.25" customHeight="1" x14ac:dyDescent="0.2">
      <c r="A29" s="10">
        <v>45865</v>
      </c>
      <c r="B29" s="56" t="s">
        <v>20</v>
      </c>
      <c r="C29" s="57"/>
      <c r="D29" s="74"/>
      <c r="E29" s="74"/>
      <c r="F29" s="20"/>
      <c r="G29" s="26"/>
      <c r="H29" s="8"/>
      <c r="I29" s="8"/>
      <c r="J29" s="29"/>
      <c r="K29" s="29"/>
      <c r="L29" s="29"/>
      <c r="P29" s="1"/>
    </row>
    <row r="30" spans="1:16" ht="16.25" customHeight="1" x14ac:dyDescent="0.2">
      <c r="A30" s="7">
        <v>45866</v>
      </c>
      <c r="B30" s="58" t="s">
        <v>23</v>
      </c>
      <c r="C30" s="60" t="s">
        <v>24</v>
      </c>
      <c r="D30" s="76"/>
      <c r="E30" s="76"/>
      <c r="F30" s="21"/>
      <c r="G30" s="27"/>
      <c r="H30" s="5"/>
      <c r="I30" s="5"/>
      <c r="J30" s="29"/>
      <c r="K30" s="29"/>
      <c r="L30" s="29"/>
      <c r="P30" s="1"/>
    </row>
    <row r="31" spans="1:16" ht="16.25" customHeight="1" x14ac:dyDescent="0.2">
      <c r="A31" s="7">
        <v>45867</v>
      </c>
      <c r="B31" s="58" t="s">
        <v>23</v>
      </c>
      <c r="C31" s="59"/>
      <c r="D31" s="75"/>
      <c r="E31" s="75"/>
      <c r="F31" s="21"/>
      <c r="G31" s="27"/>
      <c r="H31" s="5"/>
      <c r="I31" s="5"/>
      <c r="J31" s="29"/>
      <c r="K31" s="29"/>
      <c r="L31" s="29"/>
      <c r="P31" s="1"/>
    </row>
    <row r="32" spans="1:16" ht="16.25" customHeight="1" x14ac:dyDescent="0.2">
      <c r="A32" s="7">
        <v>45868</v>
      </c>
      <c r="B32" s="58" t="s">
        <v>23</v>
      </c>
      <c r="C32" s="60" t="s">
        <v>25</v>
      </c>
      <c r="D32" s="76"/>
      <c r="E32" s="76"/>
      <c r="F32" s="21"/>
      <c r="G32" s="27"/>
      <c r="H32" s="5"/>
      <c r="I32" s="5"/>
      <c r="J32" s="29"/>
      <c r="K32" s="29"/>
      <c r="L32" s="29"/>
    </row>
    <row r="33" spans="1:12" ht="16.25" customHeight="1" x14ac:dyDescent="0.2">
      <c r="A33" s="7">
        <v>45869</v>
      </c>
      <c r="B33" s="58" t="s">
        <v>23</v>
      </c>
      <c r="C33" s="59"/>
      <c r="D33" s="75"/>
      <c r="E33" s="75"/>
      <c r="F33" s="21"/>
      <c r="G33" s="27"/>
      <c r="H33" s="5"/>
      <c r="I33" s="5"/>
      <c r="J33" s="29" t="s">
        <v>22</v>
      </c>
      <c r="K33" s="29" t="s">
        <v>26</v>
      </c>
      <c r="L33" s="29"/>
    </row>
    <row r="34" spans="1:12" ht="16.25" customHeight="1" x14ac:dyDescent="0.2">
      <c r="A34" s="7">
        <v>45870</v>
      </c>
      <c r="B34" s="58" t="s">
        <v>23</v>
      </c>
      <c r="C34" s="60" t="s">
        <v>27</v>
      </c>
      <c r="D34" s="76"/>
      <c r="E34" s="76"/>
      <c r="F34" s="21"/>
      <c r="G34" s="27"/>
      <c r="H34" s="5"/>
      <c r="I34" s="5"/>
      <c r="J34" s="29" t="s">
        <v>28</v>
      </c>
      <c r="K34" s="29"/>
      <c r="L34" s="29"/>
    </row>
    <row r="35" spans="1:12" ht="16.25" customHeight="1" x14ac:dyDescent="0.2">
      <c r="A35" s="10">
        <v>45871</v>
      </c>
      <c r="B35" s="56" t="s">
        <v>20</v>
      </c>
      <c r="C35" s="57"/>
      <c r="D35" s="74"/>
      <c r="E35" s="74"/>
      <c r="F35" s="20"/>
      <c r="G35" s="26"/>
      <c r="H35" s="8"/>
      <c r="I35" s="8"/>
      <c r="J35" s="29"/>
      <c r="K35" s="29"/>
      <c r="L35" s="29"/>
    </row>
    <row r="36" spans="1:12" ht="16.25" customHeight="1" x14ac:dyDescent="0.2">
      <c r="A36" s="10">
        <v>45872</v>
      </c>
      <c r="B36" s="56" t="s">
        <v>29</v>
      </c>
      <c r="C36" s="57"/>
      <c r="D36" s="74"/>
      <c r="E36" s="74"/>
      <c r="F36" s="20"/>
      <c r="G36" s="26"/>
      <c r="H36" s="8"/>
      <c r="I36" s="8"/>
      <c r="J36" s="29"/>
      <c r="K36" s="29"/>
      <c r="L36" s="29"/>
    </row>
    <row r="37" spans="1:12" ht="16.25" customHeight="1" x14ac:dyDescent="0.2">
      <c r="A37" s="7">
        <v>45873</v>
      </c>
      <c r="B37" s="58" t="s">
        <v>23</v>
      </c>
      <c r="C37" s="60" t="s">
        <v>30</v>
      </c>
      <c r="D37" s="76"/>
      <c r="E37" s="76"/>
      <c r="F37" s="21"/>
      <c r="G37" s="27"/>
      <c r="H37" s="5"/>
      <c r="I37" s="5"/>
      <c r="J37" s="29" t="s">
        <v>31</v>
      </c>
      <c r="K37" s="29" t="s">
        <v>32</v>
      </c>
      <c r="L37" s="29"/>
    </row>
    <row r="38" spans="1:12" ht="16.25" customHeight="1" x14ac:dyDescent="0.2">
      <c r="A38" s="7">
        <v>45874</v>
      </c>
      <c r="B38" s="58" t="s">
        <v>23</v>
      </c>
      <c r="C38" s="60" t="s">
        <v>33</v>
      </c>
      <c r="D38" s="76"/>
      <c r="E38" s="76"/>
      <c r="F38" s="21"/>
      <c r="G38" s="27"/>
      <c r="H38" s="5"/>
      <c r="I38" s="5"/>
      <c r="J38" s="29" t="s">
        <v>34</v>
      </c>
      <c r="K38" s="29"/>
      <c r="L38" s="29"/>
    </row>
    <row r="39" spans="1:12" ht="16.25" customHeight="1" x14ac:dyDescent="0.2">
      <c r="A39" s="7">
        <v>45875</v>
      </c>
      <c r="B39" s="58" t="s">
        <v>23</v>
      </c>
      <c r="C39" s="60" t="s">
        <v>33</v>
      </c>
      <c r="D39" s="76"/>
      <c r="E39" s="76"/>
      <c r="F39" s="21"/>
      <c r="G39" s="27"/>
      <c r="H39" s="5"/>
      <c r="I39" s="5"/>
      <c r="J39" s="29"/>
      <c r="K39" s="29"/>
      <c r="L39" s="29"/>
    </row>
    <row r="40" spans="1:12" ht="16.25" customHeight="1" x14ac:dyDescent="0.2">
      <c r="A40" s="10">
        <v>45876</v>
      </c>
      <c r="B40" s="56" t="s">
        <v>17</v>
      </c>
      <c r="C40" s="57"/>
      <c r="D40" s="74"/>
      <c r="E40" s="74"/>
      <c r="F40" s="20"/>
      <c r="G40" s="26"/>
      <c r="H40" s="8"/>
      <c r="I40" s="8"/>
      <c r="J40" s="29"/>
      <c r="K40" s="29"/>
      <c r="L40" s="29"/>
    </row>
    <row r="41" spans="1:12" ht="16.25" customHeight="1" x14ac:dyDescent="0.2">
      <c r="A41" s="7">
        <v>45877</v>
      </c>
      <c r="B41" s="58" t="s">
        <v>23</v>
      </c>
      <c r="C41" s="60" t="s">
        <v>33</v>
      </c>
      <c r="D41" s="76"/>
      <c r="E41" s="76"/>
      <c r="F41" s="21"/>
      <c r="G41" s="27"/>
      <c r="H41" s="5"/>
      <c r="I41" s="5"/>
      <c r="J41" s="29"/>
      <c r="K41" s="29"/>
      <c r="L41" s="29"/>
    </row>
    <row r="42" spans="1:12" ht="16.25" customHeight="1" x14ac:dyDescent="0.2">
      <c r="A42" s="10">
        <v>45878</v>
      </c>
      <c r="B42" s="56" t="s">
        <v>20</v>
      </c>
      <c r="C42" s="57"/>
      <c r="D42" s="74"/>
      <c r="E42" s="74"/>
      <c r="F42" s="20"/>
      <c r="G42" s="26"/>
      <c r="H42" s="8"/>
      <c r="I42" s="8"/>
      <c r="J42" s="29"/>
      <c r="K42" s="29"/>
      <c r="L42" s="29"/>
    </row>
    <row r="43" spans="1:12" ht="16.25" customHeight="1" x14ac:dyDescent="0.2">
      <c r="A43" s="10">
        <v>45879</v>
      </c>
      <c r="B43" s="56" t="s">
        <v>20</v>
      </c>
      <c r="C43" s="57"/>
      <c r="D43" s="74"/>
      <c r="E43" s="74"/>
      <c r="F43" s="20"/>
      <c r="G43" s="26"/>
      <c r="H43" s="8"/>
      <c r="I43" s="8"/>
      <c r="J43" s="29"/>
      <c r="K43" s="29"/>
      <c r="L43" s="29"/>
    </row>
    <row r="44" spans="1:12" ht="16.25" customHeight="1" x14ac:dyDescent="0.2">
      <c r="A44" s="7">
        <v>45880</v>
      </c>
      <c r="B44" s="58" t="s">
        <v>23</v>
      </c>
      <c r="C44" s="60" t="s">
        <v>36</v>
      </c>
      <c r="D44" s="76" t="s">
        <v>134</v>
      </c>
      <c r="E44" s="76"/>
      <c r="F44" s="21"/>
      <c r="G44" s="27">
        <v>1</v>
      </c>
      <c r="H44" s="5"/>
      <c r="I44" s="5"/>
      <c r="J44" s="29"/>
      <c r="K44" s="29" t="s">
        <v>34</v>
      </c>
      <c r="L44" s="29" t="s">
        <v>37</v>
      </c>
    </row>
    <row r="45" spans="1:12" ht="16.25" customHeight="1" x14ac:dyDescent="0.2">
      <c r="A45" s="7">
        <v>45881</v>
      </c>
      <c r="B45" s="58" t="s">
        <v>23</v>
      </c>
      <c r="C45" s="60" t="s">
        <v>38</v>
      </c>
      <c r="D45" s="76"/>
      <c r="E45" s="76"/>
      <c r="F45" s="21"/>
      <c r="G45" s="27"/>
      <c r="H45" s="5"/>
      <c r="I45" s="5"/>
      <c r="J45" s="29"/>
      <c r="K45" s="29" t="s">
        <v>39</v>
      </c>
      <c r="L45" s="29" t="s">
        <v>40</v>
      </c>
    </row>
    <row r="46" spans="1:12" ht="16.25" customHeight="1" x14ac:dyDescent="0.2">
      <c r="A46" s="7">
        <v>45882</v>
      </c>
      <c r="B46" s="61">
        <v>1</v>
      </c>
      <c r="C46" s="60" t="s">
        <v>41</v>
      </c>
      <c r="D46" s="76" t="s">
        <v>135</v>
      </c>
      <c r="E46" s="76"/>
      <c r="F46" s="21"/>
      <c r="G46" s="27"/>
      <c r="H46" s="5"/>
      <c r="I46" s="5"/>
      <c r="J46" s="29"/>
      <c r="K46" s="29" t="s">
        <v>42</v>
      </c>
      <c r="L46" s="29" t="s">
        <v>43</v>
      </c>
    </row>
    <row r="47" spans="1:12" ht="16.25" customHeight="1" x14ac:dyDescent="0.2">
      <c r="A47" s="7">
        <v>45883</v>
      </c>
      <c r="B47" s="61">
        <v>2</v>
      </c>
      <c r="C47" s="60"/>
      <c r="D47" s="76" t="s">
        <v>136</v>
      </c>
      <c r="E47" s="76"/>
      <c r="F47" s="21"/>
      <c r="G47" s="27"/>
      <c r="H47" s="5"/>
      <c r="I47" s="5"/>
      <c r="J47" s="29" t="s">
        <v>44</v>
      </c>
      <c r="K47" s="29" t="s">
        <v>45</v>
      </c>
      <c r="L47" s="29"/>
    </row>
    <row r="48" spans="1:12" ht="16.25" customHeight="1" x14ac:dyDescent="0.2">
      <c r="A48" s="7">
        <v>45884</v>
      </c>
      <c r="B48" s="61">
        <v>3</v>
      </c>
      <c r="C48" s="60"/>
      <c r="D48" s="76" t="s">
        <v>136</v>
      </c>
      <c r="E48" s="76"/>
      <c r="F48" s="21"/>
      <c r="G48" s="27"/>
      <c r="H48" s="5"/>
      <c r="I48" s="5"/>
      <c r="J48" s="29" t="s">
        <v>46</v>
      </c>
      <c r="K48" s="29"/>
      <c r="L48" s="29"/>
    </row>
    <row r="49" spans="1:12" ht="16.25" customHeight="1" x14ac:dyDescent="0.2">
      <c r="A49" s="10">
        <v>45885</v>
      </c>
      <c r="B49" s="56" t="s">
        <v>20</v>
      </c>
      <c r="C49" s="57"/>
      <c r="D49" s="74"/>
      <c r="E49" s="74"/>
      <c r="F49" s="20"/>
      <c r="G49" s="26"/>
      <c r="H49" s="8"/>
      <c r="I49" s="8"/>
      <c r="J49" s="29"/>
      <c r="K49" s="29"/>
      <c r="L49" s="29"/>
    </row>
    <row r="50" spans="1:12" ht="16.25" customHeight="1" x14ac:dyDescent="0.2">
      <c r="A50" s="10">
        <v>45886</v>
      </c>
      <c r="B50" s="56" t="s">
        <v>20</v>
      </c>
      <c r="C50" s="57"/>
      <c r="D50" s="74"/>
      <c r="E50" s="74"/>
      <c r="F50" s="20"/>
      <c r="G50" s="26"/>
      <c r="H50" s="8"/>
      <c r="I50" s="8"/>
      <c r="J50" s="29"/>
      <c r="K50" s="29"/>
      <c r="L50" s="29"/>
    </row>
    <row r="51" spans="1:12" ht="16.25" customHeight="1" x14ac:dyDescent="0.2">
      <c r="A51" s="10">
        <v>45887</v>
      </c>
      <c r="B51" s="56" t="s">
        <v>17</v>
      </c>
      <c r="C51" s="57"/>
      <c r="D51" s="74"/>
      <c r="E51" s="74"/>
      <c r="F51" s="20"/>
      <c r="G51" s="26"/>
      <c r="H51" s="8"/>
      <c r="I51" s="8"/>
      <c r="J51" s="29"/>
      <c r="K51" s="29"/>
      <c r="L51" s="29"/>
    </row>
    <row r="52" spans="1:12" ht="16.25" customHeight="1" x14ac:dyDescent="0.2">
      <c r="A52" s="7">
        <v>45888</v>
      </c>
      <c r="B52" s="61">
        <v>4</v>
      </c>
      <c r="C52" s="60"/>
      <c r="D52" s="76" t="s">
        <v>136</v>
      </c>
      <c r="E52" s="76"/>
      <c r="F52" s="21"/>
      <c r="G52" s="27">
        <f>1+SUM(G43:G49)</f>
        <v>2</v>
      </c>
      <c r="H52" s="5"/>
      <c r="I52" s="5"/>
      <c r="J52" s="29"/>
      <c r="K52" s="29"/>
      <c r="L52" s="29"/>
    </row>
    <row r="53" spans="1:12" ht="16.25" customHeight="1" x14ac:dyDescent="0.2">
      <c r="A53" s="7">
        <v>45889</v>
      </c>
      <c r="B53" s="61">
        <v>5</v>
      </c>
      <c r="C53" s="60"/>
      <c r="D53" s="76" t="s">
        <v>136</v>
      </c>
      <c r="E53" s="76"/>
      <c r="F53" s="21"/>
      <c r="G53" s="27"/>
      <c r="H53" s="5"/>
      <c r="I53" s="5"/>
      <c r="J53" s="29"/>
      <c r="K53" s="29"/>
      <c r="L53" s="29"/>
    </row>
    <row r="54" spans="1:12" ht="16.25" customHeight="1" x14ac:dyDescent="0.2">
      <c r="A54" s="7">
        <v>45890</v>
      </c>
      <c r="B54" s="61">
        <v>6</v>
      </c>
      <c r="C54" s="60"/>
      <c r="D54" s="76" t="s">
        <v>136</v>
      </c>
      <c r="E54" s="76"/>
      <c r="F54" s="21">
        <v>1</v>
      </c>
      <c r="G54" s="27"/>
      <c r="H54" s="5"/>
      <c r="I54" s="5"/>
      <c r="J54" s="29"/>
      <c r="K54" s="29"/>
      <c r="L54" s="29"/>
    </row>
    <row r="55" spans="1:12" ht="16.25" customHeight="1" x14ac:dyDescent="0.2">
      <c r="A55" s="7">
        <v>45891</v>
      </c>
      <c r="B55" s="61">
        <v>1</v>
      </c>
      <c r="C55" s="60"/>
      <c r="D55" s="76"/>
      <c r="E55" s="76"/>
      <c r="F55" s="21"/>
      <c r="G55" s="27"/>
      <c r="H55" s="5"/>
      <c r="I55" s="5"/>
      <c r="J55" s="29"/>
      <c r="K55" s="29"/>
      <c r="L55" s="29"/>
    </row>
    <row r="56" spans="1:12" ht="16.25" customHeight="1" x14ac:dyDescent="0.2">
      <c r="A56" s="10">
        <v>45892</v>
      </c>
      <c r="B56" s="56" t="s">
        <v>20</v>
      </c>
      <c r="C56" s="57"/>
      <c r="D56" s="74"/>
      <c r="E56" s="74"/>
      <c r="F56" s="20"/>
      <c r="G56" s="26"/>
      <c r="H56" s="8"/>
      <c r="I56" s="8"/>
      <c r="J56" s="29"/>
      <c r="K56" s="29"/>
      <c r="L56" s="29"/>
    </row>
    <row r="57" spans="1:12" ht="16.25" customHeight="1" x14ac:dyDescent="0.2">
      <c r="A57" s="10">
        <v>45893</v>
      </c>
      <c r="B57" s="56" t="s">
        <v>20</v>
      </c>
      <c r="C57" s="57"/>
      <c r="D57" s="74"/>
      <c r="E57" s="74"/>
      <c r="F57" s="20"/>
      <c r="G57" s="26"/>
      <c r="H57" s="8"/>
      <c r="I57" s="8"/>
      <c r="J57" s="29"/>
      <c r="K57" s="29"/>
      <c r="L57" s="29"/>
    </row>
    <row r="58" spans="1:12" ht="16.25" customHeight="1" x14ac:dyDescent="0.2">
      <c r="A58" s="7">
        <v>45894</v>
      </c>
      <c r="B58" s="61">
        <v>2</v>
      </c>
      <c r="C58" s="60"/>
      <c r="D58" s="76"/>
      <c r="E58" s="76"/>
      <c r="F58" s="21"/>
      <c r="G58" s="27">
        <f>1+SUM(G49:G55)</f>
        <v>3</v>
      </c>
      <c r="H58" s="5"/>
      <c r="I58" s="5"/>
      <c r="J58" s="29"/>
      <c r="K58" s="29"/>
      <c r="L58" s="29"/>
    </row>
    <row r="59" spans="1:12" ht="16.25" customHeight="1" x14ac:dyDescent="0.2">
      <c r="A59" s="7">
        <v>45895</v>
      </c>
      <c r="B59" s="61">
        <v>3</v>
      </c>
      <c r="C59" s="60"/>
      <c r="D59" s="76"/>
      <c r="E59" s="76"/>
      <c r="F59" s="21"/>
      <c r="G59" s="27"/>
      <c r="H59" s="5"/>
      <c r="I59" s="5"/>
      <c r="J59" s="29"/>
      <c r="K59" s="29"/>
      <c r="L59" s="29"/>
    </row>
    <row r="60" spans="1:12" ht="16.25" customHeight="1" x14ac:dyDescent="0.2">
      <c r="A60" s="7">
        <v>45896</v>
      </c>
      <c r="B60" s="61">
        <v>4</v>
      </c>
      <c r="C60" s="60"/>
      <c r="D60" s="76"/>
      <c r="E60" s="76"/>
      <c r="F60" s="21"/>
      <c r="G60" s="27"/>
      <c r="H60" s="5"/>
      <c r="I60" s="5"/>
      <c r="J60" s="29"/>
      <c r="K60" s="29"/>
      <c r="L60" s="29"/>
    </row>
    <row r="61" spans="1:12" ht="16.25" customHeight="1" x14ac:dyDescent="0.2">
      <c r="A61" s="7">
        <v>45897</v>
      </c>
      <c r="B61" s="61">
        <v>5</v>
      </c>
      <c r="C61" s="60"/>
      <c r="D61" s="76"/>
      <c r="E61" s="76"/>
      <c r="F61" s="21"/>
      <c r="G61" s="27"/>
      <c r="H61" s="5"/>
      <c r="I61" s="5"/>
      <c r="J61" s="29"/>
      <c r="K61" s="29"/>
      <c r="L61" s="29"/>
    </row>
    <row r="62" spans="1:12" ht="16.25" customHeight="1" x14ac:dyDescent="0.2">
      <c r="A62" s="7">
        <v>45898</v>
      </c>
      <c r="B62" s="61">
        <v>6</v>
      </c>
      <c r="C62" s="60"/>
      <c r="D62" s="76"/>
      <c r="E62" s="76"/>
      <c r="F62" s="21">
        <v>2</v>
      </c>
      <c r="G62" s="27"/>
      <c r="H62" s="5"/>
      <c r="I62" s="5"/>
      <c r="J62" s="29"/>
      <c r="K62" s="29"/>
      <c r="L62" s="29"/>
    </row>
    <row r="63" spans="1:12" ht="16.25" customHeight="1" x14ac:dyDescent="0.2">
      <c r="A63" s="10">
        <v>45899</v>
      </c>
      <c r="B63" s="56" t="s">
        <v>48</v>
      </c>
      <c r="C63" s="56" t="s">
        <v>48</v>
      </c>
      <c r="D63" s="77" t="s">
        <v>137</v>
      </c>
      <c r="E63" s="77"/>
      <c r="F63" s="20"/>
      <c r="G63" s="26"/>
      <c r="H63" s="8"/>
      <c r="I63" s="8"/>
      <c r="J63" s="29"/>
      <c r="K63" s="29"/>
      <c r="L63" s="29"/>
    </row>
    <row r="64" spans="1:12" ht="16.25" customHeight="1" x14ac:dyDescent="0.2">
      <c r="A64" s="10">
        <v>45900</v>
      </c>
      <c r="B64" s="56" t="s">
        <v>20</v>
      </c>
      <c r="C64" s="57"/>
      <c r="D64" s="74"/>
      <c r="E64" s="74"/>
      <c r="F64" s="20"/>
      <c r="G64" s="26"/>
      <c r="H64" s="8"/>
      <c r="I64" s="8"/>
      <c r="J64" s="29"/>
      <c r="K64" s="29"/>
      <c r="L64" s="29"/>
    </row>
    <row r="65" spans="1:12" ht="16.25" customHeight="1" x14ac:dyDescent="0.2">
      <c r="A65" s="7">
        <v>45901</v>
      </c>
      <c r="B65" s="61">
        <v>1</v>
      </c>
      <c r="C65" s="60"/>
      <c r="D65" s="76"/>
      <c r="E65" s="76"/>
      <c r="F65" s="21"/>
      <c r="G65" s="27">
        <f>1+SUM(G56:G62)</f>
        <v>4</v>
      </c>
      <c r="H65" s="5"/>
      <c r="I65" s="5"/>
      <c r="J65" s="29"/>
      <c r="K65" s="29"/>
      <c r="L65" s="29"/>
    </row>
    <row r="66" spans="1:12" ht="16.25" customHeight="1" x14ac:dyDescent="0.2">
      <c r="A66" s="7">
        <v>45902</v>
      </c>
      <c r="B66" s="61">
        <v>2</v>
      </c>
      <c r="C66" s="60"/>
      <c r="D66" s="76"/>
      <c r="E66" s="76"/>
      <c r="F66" s="21"/>
      <c r="G66" s="27"/>
      <c r="H66" s="5"/>
      <c r="I66" s="5"/>
      <c r="J66" s="29"/>
      <c r="K66" s="29"/>
      <c r="L66" s="29"/>
    </row>
    <row r="67" spans="1:12" ht="16.25" customHeight="1" x14ac:dyDescent="0.2">
      <c r="A67" s="7">
        <v>45903</v>
      </c>
      <c r="B67" s="61">
        <v>3</v>
      </c>
      <c r="C67" s="60"/>
      <c r="D67" s="76"/>
      <c r="E67" s="76"/>
      <c r="F67" s="21"/>
      <c r="G67" s="27"/>
      <c r="H67" s="5"/>
      <c r="I67" s="5"/>
      <c r="J67" s="29"/>
      <c r="K67" s="29"/>
      <c r="L67" s="29"/>
    </row>
    <row r="68" spans="1:12" ht="16.25" customHeight="1" x14ac:dyDescent="0.2">
      <c r="A68" s="7">
        <v>45904</v>
      </c>
      <c r="B68" s="61">
        <v>4</v>
      </c>
      <c r="C68" s="60"/>
      <c r="D68" s="76"/>
      <c r="E68" s="76"/>
      <c r="F68" s="21"/>
      <c r="G68" s="27"/>
      <c r="H68" s="5"/>
      <c r="I68" s="5"/>
      <c r="J68" s="29"/>
      <c r="K68" s="29"/>
      <c r="L68" s="29"/>
    </row>
    <row r="69" spans="1:12" ht="16.25" customHeight="1" x14ac:dyDescent="0.2">
      <c r="A69" s="7">
        <v>45905</v>
      </c>
      <c r="B69" s="58" t="s">
        <v>51</v>
      </c>
      <c r="C69" s="60" t="s">
        <v>138</v>
      </c>
      <c r="D69" s="76" t="s">
        <v>139</v>
      </c>
      <c r="E69" s="76"/>
      <c r="F69" s="21"/>
      <c r="G69" s="27"/>
      <c r="H69" s="5"/>
      <c r="I69" s="5"/>
      <c r="J69" s="29"/>
      <c r="K69" s="29"/>
      <c r="L69" s="29"/>
    </row>
    <row r="70" spans="1:12" ht="16.25" customHeight="1" x14ac:dyDescent="0.2">
      <c r="A70" s="10">
        <v>45906</v>
      </c>
      <c r="B70" s="56" t="s">
        <v>20</v>
      </c>
      <c r="C70" s="57"/>
      <c r="D70" s="74"/>
      <c r="E70" s="74"/>
      <c r="F70" s="20"/>
      <c r="G70" s="26"/>
      <c r="H70" s="8"/>
      <c r="I70" s="8"/>
      <c r="J70" s="29"/>
      <c r="K70" s="29"/>
      <c r="L70" s="29"/>
    </row>
    <row r="71" spans="1:12" ht="16.25" customHeight="1" x14ac:dyDescent="0.2">
      <c r="A71" s="10">
        <v>45907</v>
      </c>
      <c r="B71" s="56" t="s">
        <v>20</v>
      </c>
      <c r="C71" s="57"/>
      <c r="D71" s="74"/>
      <c r="E71" s="74"/>
      <c r="F71" s="20"/>
      <c r="G71" s="26"/>
      <c r="H71" s="8"/>
      <c r="I71" s="8"/>
      <c r="J71" s="29"/>
      <c r="K71" s="29"/>
      <c r="L71" s="29"/>
    </row>
    <row r="72" spans="1:12" ht="16.25" customHeight="1" x14ac:dyDescent="0.2">
      <c r="A72" s="7">
        <v>45908</v>
      </c>
      <c r="B72" s="61">
        <v>5</v>
      </c>
      <c r="C72" s="60" t="s">
        <v>53</v>
      </c>
      <c r="D72" s="76" t="s">
        <v>140</v>
      </c>
      <c r="E72" s="76"/>
      <c r="F72" s="21"/>
      <c r="G72" s="27">
        <f>1+SUM(G63:G69)</f>
        <v>5</v>
      </c>
      <c r="H72" s="5"/>
      <c r="I72" s="5"/>
      <c r="J72" s="29"/>
      <c r="K72" s="29"/>
      <c r="L72" s="29"/>
    </row>
    <row r="73" spans="1:12" ht="16.25" customHeight="1" x14ac:dyDescent="0.2">
      <c r="A73" s="7">
        <v>45909</v>
      </c>
      <c r="B73" s="61">
        <v>6</v>
      </c>
      <c r="C73" s="60"/>
      <c r="D73" s="76" t="s">
        <v>140</v>
      </c>
      <c r="E73" s="76"/>
      <c r="F73" s="21">
        <v>3</v>
      </c>
      <c r="G73" s="27"/>
      <c r="H73" s="5"/>
      <c r="I73" s="5"/>
      <c r="J73" s="29"/>
      <c r="K73" s="29"/>
      <c r="L73" s="29"/>
    </row>
    <row r="74" spans="1:12" ht="16.25" customHeight="1" x14ac:dyDescent="0.2">
      <c r="A74" s="7">
        <v>45910</v>
      </c>
      <c r="B74" s="61">
        <v>1</v>
      </c>
      <c r="C74" s="60"/>
      <c r="D74" s="76" t="s">
        <v>141</v>
      </c>
      <c r="E74" s="76"/>
      <c r="F74" s="21"/>
      <c r="G74" s="27"/>
      <c r="H74" s="5"/>
      <c r="I74" s="5"/>
      <c r="J74" s="29"/>
      <c r="K74" s="29"/>
      <c r="L74" s="29"/>
    </row>
    <row r="75" spans="1:12" ht="16.25" customHeight="1" x14ac:dyDescent="0.2">
      <c r="A75" s="7">
        <v>45911</v>
      </c>
      <c r="B75" s="61">
        <v>2</v>
      </c>
      <c r="C75" s="60"/>
      <c r="D75" s="76" t="s">
        <v>140</v>
      </c>
      <c r="E75" s="76"/>
      <c r="F75" s="21"/>
      <c r="G75" s="27"/>
      <c r="H75" s="5"/>
      <c r="I75" s="5"/>
      <c r="J75" s="29"/>
      <c r="K75" s="29"/>
      <c r="L75" s="29"/>
    </row>
    <row r="76" spans="1:12" ht="16.25" customHeight="1" x14ac:dyDescent="0.2">
      <c r="A76" s="7">
        <v>45912</v>
      </c>
      <c r="B76" s="61">
        <v>3</v>
      </c>
      <c r="C76" s="60"/>
      <c r="D76" s="76" t="s">
        <v>140</v>
      </c>
      <c r="E76" s="76"/>
      <c r="F76" s="21"/>
      <c r="G76" s="27"/>
      <c r="H76" s="5"/>
      <c r="I76" s="5"/>
      <c r="J76" s="29"/>
      <c r="K76" s="29"/>
      <c r="L76" s="29"/>
    </row>
    <row r="77" spans="1:12" ht="16.25" customHeight="1" x14ac:dyDescent="0.2">
      <c r="A77" s="10">
        <v>45913</v>
      </c>
      <c r="B77" s="56" t="s">
        <v>20</v>
      </c>
      <c r="C77" s="57"/>
      <c r="D77" s="74"/>
      <c r="E77" s="74"/>
      <c r="F77" s="20"/>
      <c r="G77" s="26"/>
      <c r="H77" s="8"/>
      <c r="I77" s="8"/>
      <c r="J77" s="29"/>
      <c r="K77" s="29"/>
      <c r="L77" s="29"/>
    </row>
    <row r="78" spans="1:12" ht="16.25" customHeight="1" x14ac:dyDescent="0.2">
      <c r="A78" s="10">
        <v>45914</v>
      </c>
      <c r="B78" s="56" t="s">
        <v>20</v>
      </c>
      <c r="C78" s="57"/>
      <c r="D78" s="74"/>
      <c r="E78" s="74"/>
      <c r="F78" s="20"/>
      <c r="G78" s="26"/>
      <c r="H78" s="8"/>
      <c r="I78" s="8"/>
      <c r="J78" s="29"/>
      <c r="K78" s="29"/>
      <c r="L78" s="29"/>
    </row>
    <row r="79" spans="1:12" ht="16.25" customHeight="1" x14ac:dyDescent="0.2">
      <c r="A79" s="7">
        <v>45915</v>
      </c>
      <c r="B79" s="61">
        <v>4</v>
      </c>
      <c r="C79" s="60"/>
      <c r="D79" s="76" t="s">
        <v>142</v>
      </c>
      <c r="E79" s="76"/>
      <c r="F79" s="21"/>
      <c r="G79" s="27">
        <f>1+SUM(G70:G76)</f>
        <v>6</v>
      </c>
      <c r="H79" s="5"/>
      <c r="I79" s="5"/>
      <c r="J79" s="29"/>
      <c r="K79" s="29"/>
      <c r="L79" s="29"/>
    </row>
    <row r="80" spans="1:12" ht="16.25" customHeight="1" x14ac:dyDescent="0.2">
      <c r="A80" s="7">
        <v>45916</v>
      </c>
      <c r="B80" s="61">
        <v>5</v>
      </c>
      <c r="C80" s="60"/>
      <c r="D80" s="76" t="s">
        <v>142</v>
      </c>
      <c r="E80" s="76"/>
      <c r="F80" s="21"/>
      <c r="G80" s="27"/>
      <c r="H80" s="5"/>
      <c r="I80" s="5"/>
      <c r="J80" s="29"/>
      <c r="K80" s="29"/>
      <c r="L80" s="29"/>
    </row>
    <row r="81" spans="1:12" ht="16.25" customHeight="1" x14ac:dyDescent="0.2">
      <c r="A81" s="7">
        <v>45917</v>
      </c>
      <c r="B81" s="61">
        <v>6</v>
      </c>
      <c r="C81" s="60"/>
      <c r="D81" s="76" t="s">
        <v>142</v>
      </c>
      <c r="E81" s="76"/>
      <c r="F81" s="21">
        <v>4</v>
      </c>
      <c r="G81" s="27"/>
      <c r="H81" s="5"/>
      <c r="I81" s="5"/>
      <c r="J81" s="29"/>
      <c r="K81" s="29"/>
      <c r="L81" s="29"/>
    </row>
    <row r="82" spans="1:12" ht="16.25" customHeight="1" x14ac:dyDescent="0.2">
      <c r="A82" s="7">
        <v>45918</v>
      </c>
      <c r="B82" s="61">
        <v>1</v>
      </c>
      <c r="C82" s="60"/>
      <c r="D82" s="76" t="s">
        <v>143</v>
      </c>
      <c r="E82" s="76"/>
      <c r="F82" s="21"/>
      <c r="G82" s="27"/>
      <c r="H82" s="5"/>
      <c r="I82" s="5"/>
      <c r="J82" s="29"/>
      <c r="K82" s="29"/>
      <c r="L82" s="29"/>
    </row>
    <row r="83" spans="1:12" ht="16.25" customHeight="1" x14ac:dyDescent="0.2">
      <c r="A83" s="7">
        <v>45919</v>
      </c>
      <c r="B83" s="61">
        <v>2</v>
      </c>
      <c r="C83" s="60"/>
      <c r="D83" s="76"/>
      <c r="E83" s="76"/>
      <c r="F83" s="21"/>
      <c r="G83" s="27"/>
      <c r="H83" s="5"/>
      <c r="I83" s="5"/>
      <c r="J83" s="29"/>
      <c r="K83" s="29"/>
      <c r="L83" s="29"/>
    </row>
    <row r="84" spans="1:12" ht="16.25" customHeight="1" x14ac:dyDescent="0.2">
      <c r="A84" s="10">
        <v>45920</v>
      </c>
      <c r="B84" s="56" t="s">
        <v>20</v>
      </c>
      <c r="C84" s="57"/>
      <c r="D84" s="74"/>
      <c r="E84" s="74"/>
      <c r="F84" s="20"/>
      <c r="G84" s="26"/>
      <c r="H84" s="8"/>
      <c r="I84" s="8"/>
      <c r="J84" s="29"/>
      <c r="K84" s="29"/>
      <c r="L84" s="29"/>
    </row>
    <row r="85" spans="1:12" ht="16.25" customHeight="1" x14ac:dyDescent="0.2">
      <c r="A85" s="10">
        <v>45921</v>
      </c>
      <c r="B85" s="56" t="s">
        <v>20</v>
      </c>
      <c r="C85" s="57"/>
      <c r="D85" s="74"/>
      <c r="E85" s="74"/>
      <c r="F85" s="20"/>
      <c r="G85" s="26"/>
      <c r="H85" s="8"/>
      <c r="I85" s="8"/>
      <c r="J85" s="29"/>
      <c r="K85" s="29"/>
      <c r="L85" s="29"/>
    </row>
    <row r="86" spans="1:12" ht="16.25" customHeight="1" x14ac:dyDescent="0.2">
      <c r="A86" s="7">
        <v>45922</v>
      </c>
      <c r="B86" s="61">
        <v>3</v>
      </c>
      <c r="C86" s="60"/>
      <c r="D86" s="76"/>
      <c r="E86" s="76"/>
      <c r="F86" s="21"/>
      <c r="G86" s="27">
        <f>1+SUM(G77:G83)</f>
        <v>7</v>
      </c>
      <c r="H86" s="5"/>
      <c r="I86" s="5"/>
      <c r="J86" s="29"/>
      <c r="K86" s="29"/>
      <c r="L86" s="29"/>
    </row>
    <row r="87" spans="1:12" ht="16.25" customHeight="1" x14ac:dyDescent="0.2">
      <c r="A87" s="7">
        <v>45923</v>
      </c>
      <c r="B87" s="61">
        <v>4</v>
      </c>
      <c r="C87" s="60"/>
      <c r="D87" s="76"/>
      <c r="E87" s="76"/>
      <c r="F87" s="21"/>
      <c r="G87" s="27"/>
      <c r="H87" s="5"/>
      <c r="I87" s="5"/>
      <c r="J87" s="29"/>
      <c r="K87" s="29"/>
      <c r="L87" s="29"/>
    </row>
    <row r="88" spans="1:12" ht="16.25" customHeight="1" x14ac:dyDescent="0.2">
      <c r="A88" s="7">
        <v>45924</v>
      </c>
      <c r="B88" s="61">
        <v>5</v>
      </c>
      <c r="C88" s="60"/>
      <c r="D88" s="76"/>
      <c r="E88" s="76"/>
      <c r="F88" s="21"/>
      <c r="G88" s="27"/>
      <c r="H88" s="5"/>
      <c r="I88" s="5"/>
      <c r="J88" s="29"/>
      <c r="K88" s="29"/>
      <c r="L88" s="29"/>
    </row>
    <row r="89" spans="1:12" ht="16.25" customHeight="1" x14ac:dyDescent="0.2">
      <c r="A89" s="7">
        <v>45925</v>
      </c>
      <c r="B89" s="61">
        <v>6</v>
      </c>
      <c r="C89" s="60"/>
      <c r="D89" s="76" t="s">
        <v>144</v>
      </c>
      <c r="E89" s="76"/>
      <c r="F89" s="21">
        <v>5</v>
      </c>
      <c r="G89" s="27"/>
      <c r="H89" s="5"/>
      <c r="I89" s="5"/>
      <c r="J89" s="29"/>
      <c r="K89" s="29"/>
      <c r="L89" s="29"/>
    </row>
    <row r="90" spans="1:12" ht="16.25" customHeight="1" x14ac:dyDescent="0.2">
      <c r="A90" s="7">
        <v>45926</v>
      </c>
      <c r="B90" s="61">
        <v>1</v>
      </c>
      <c r="C90" s="60"/>
      <c r="D90" s="76" t="s">
        <v>145</v>
      </c>
      <c r="E90" s="76"/>
      <c r="F90" s="21"/>
      <c r="G90" s="27"/>
      <c r="H90" s="5"/>
      <c r="I90" s="5"/>
      <c r="J90" s="29"/>
      <c r="K90" s="29"/>
      <c r="L90" s="29"/>
    </row>
    <row r="91" spans="1:12" ht="16.25" customHeight="1" x14ac:dyDescent="0.2">
      <c r="A91" s="10">
        <v>45927</v>
      </c>
      <c r="B91" s="56" t="s">
        <v>20</v>
      </c>
      <c r="C91" s="57"/>
      <c r="D91" s="74"/>
      <c r="E91" s="74"/>
      <c r="F91" s="20"/>
      <c r="G91" s="26"/>
      <c r="H91" s="8"/>
      <c r="I91" s="8"/>
      <c r="J91" s="29"/>
      <c r="K91" s="29"/>
      <c r="L91" s="29"/>
    </row>
    <row r="92" spans="1:12" ht="16.25" customHeight="1" x14ac:dyDescent="0.2">
      <c r="A92" s="10">
        <v>45928</v>
      </c>
      <c r="B92" s="56" t="s">
        <v>20</v>
      </c>
      <c r="C92" s="57"/>
      <c r="D92" s="74"/>
      <c r="E92" s="74"/>
      <c r="F92" s="20"/>
      <c r="G92" s="26"/>
      <c r="H92" s="8"/>
      <c r="I92" s="8"/>
      <c r="J92" s="29"/>
      <c r="K92" s="29"/>
      <c r="L92" s="29"/>
    </row>
    <row r="93" spans="1:12" ht="16.25" customHeight="1" x14ac:dyDescent="0.2">
      <c r="A93" s="7">
        <v>45929</v>
      </c>
      <c r="B93" s="61">
        <v>2</v>
      </c>
      <c r="C93" s="60"/>
      <c r="D93" s="76"/>
      <c r="E93" s="76"/>
      <c r="F93" s="21"/>
      <c r="G93" s="27">
        <f>1+SUM(G84:G90)</f>
        <v>8</v>
      </c>
      <c r="H93" s="5"/>
      <c r="I93" s="5"/>
      <c r="J93" s="29"/>
      <c r="K93" s="29"/>
      <c r="L93" s="29"/>
    </row>
    <row r="94" spans="1:12" ht="16.25" customHeight="1" x14ac:dyDescent="0.2">
      <c r="A94" s="7">
        <v>45930</v>
      </c>
      <c r="B94" s="61">
        <v>3</v>
      </c>
      <c r="C94" s="60"/>
      <c r="D94" s="76"/>
      <c r="E94" s="76"/>
      <c r="F94" s="21"/>
      <c r="G94" s="27"/>
      <c r="H94" s="5"/>
      <c r="I94" s="5"/>
      <c r="J94" s="29"/>
      <c r="K94" s="29"/>
      <c r="L94" s="29"/>
    </row>
    <row r="95" spans="1:12" ht="16.25" customHeight="1" x14ac:dyDescent="0.2">
      <c r="A95" s="7">
        <v>45931</v>
      </c>
      <c r="B95" s="61">
        <v>4</v>
      </c>
      <c r="C95" s="60"/>
      <c r="D95" s="76"/>
      <c r="E95" s="76"/>
      <c r="F95" s="21"/>
      <c r="G95" s="27"/>
      <c r="H95" s="5"/>
      <c r="I95" s="5"/>
      <c r="J95" s="29"/>
      <c r="K95" s="29"/>
      <c r="L95" s="29"/>
    </row>
    <row r="96" spans="1:12" ht="16.25" customHeight="1" x14ac:dyDescent="0.2">
      <c r="A96" s="7">
        <v>45932</v>
      </c>
      <c r="B96" s="61">
        <v>5</v>
      </c>
      <c r="C96" s="60"/>
      <c r="D96" s="76" t="s">
        <v>146</v>
      </c>
      <c r="E96" s="76"/>
      <c r="F96" s="21"/>
      <c r="G96" s="27"/>
      <c r="H96" s="5"/>
      <c r="I96" s="5"/>
      <c r="J96" s="29"/>
      <c r="K96" s="29"/>
      <c r="L96" s="29"/>
    </row>
    <row r="97" spans="1:12" ht="16.25" customHeight="1" x14ac:dyDescent="0.2">
      <c r="A97" s="37">
        <v>45933</v>
      </c>
      <c r="B97" s="62">
        <v>6</v>
      </c>
      <c r="C97" s="63" t="s">
        <v>61</v>
      </c>
      <c r="D97" s="78" t="s">
        <v>147</v>
      </c>
      <c r="E97" s="78"/>
      <c r="F97" s="40">
        <v>6</v>
      </c>
      <c r="G97" s="41"/>
      <c r="H97" s="42"/>
      <c r="I97" s="42"/>
      <c r="J97" s="43"/>
      <c r="K97" s="43"/>
      <c r="L97" s="43"/>
    </row>
    <row r="98" spans="1:12" ht="16.25" customHeight="1" x14ac:dyDescent="0.2">
      <c r="A98" s="10">
        <v>45934</v>
      </c>
      <c r="B98" s="56" t="s">
        <v>62</v>
      </c>
      <c r="C98" s="57"/>
      <c r="D98" s="74"/>
      <c r="E98" s="74"/>
      <c r="F98" s="20"/>
      <c r="G98" s="26"/>
      <c r="H98" s="8"/>
      <c r="I98" s="8"/>
      <c r="J98" s="29" t="s">
        <v>63</v>
      </c>
      <c r="K98" s="29" t="s">
        <v>63</v>
      </c>
      <c r="L98" s="29" t="s">
        <v>63</v>
      </c>
    </row>
    <row r="99" spans="1:12" ht="16.25" customHeight="1" x14ac:dyDescent="0.2">
      <c r="A99" s="10">
        <v>45935</v>
      </c>
      <c r="B99" s="56" t="s">
        <v>62</v>
      </c>
      <c r="C99" s="57"/>
      <c r="D99" s="74"/>
      <c r="E99" s="74"/>
      <c r="F99" s="20"/>
      <c r="G99" s="26"/>
      <c r="H99" s="8"/>
      <c r="I99" s="8"/>
      <c r="J99" s="29" t="s">
        <v>63</v>
      </c>
      <c r="K99" s="29" t="s">
        <v>63</v>
      </c>
      <c r="L99" s="29" t="s">
        <v>63</v>
      </c>
    </row>
    <row r="100" spans="1:12" ht="16.25" customHeight="1" x14ac:dyDescent="0.2">
      <c r="A100" s="10">
        <v>45936</v>
      </c>
      <c r="B100" s="56" t="s">
        <v>62</v>
      </c>
      <c r="C100" s="57"/>
      <c r="D100" s="74"/>
      <c r="E100" s="74"/>
      <c r="F100" s="20"/>
      <c r="G100" s="26"/>
      <c r="H100" s="8"/>
      <c r="I100" s="8"/>
      <c r="J100" s="29" t="s">
        <v>63</v>
      </c>
      <c r="K100" s="29" t="s">
        <v>63</v>
      </c>
      <c r="L100" s="29" t="s">
        <v>63</v>
      </c>
    </row>
    <row r="101" spans="1:12" ht="16.25" customHeight="1" x14ac:dyDescent="0.2">
      <c r="A101" s="10">
        <v>45937</v>
      </c>
      <c r="B101" s="56" t="s">
        <v>62</v>
      </c>
      <c r="C101" s="57"/>
      <c r="D101" s="74"/>
      <c r="E101" s="74"/>
      <c r="F101" s="20"/>
      <c r="G101" s="26"/>
      <c r="H101" s="8"/>
      <c r="I101" s="8"/>
      <c r="J101" s="29" t="s">
        <v>63</v>
      </c>
      <c r="K101" s="29" t="s">
        <v>63</v>
      </c>
      <c r="L101" s="29" t="s">
        <v>63</v>
      </c>
    </row>
    <row r="102" spans="1:12" ht="16.25" customHeight="1" x14ac:dyDescent="0.2">
      <c r="A102" s="10">
        <v>45938</v>
      </c>
      <c r="B102" s="56" t="s">
        <v>62</v>
      </c>
      <c r="C102" s="57"/>
      <c r="D102" s="74"/>
      <c r="E102" s="74"/>
      <c r="F102" s="20"/>
      <c r="G102" s="26"/>
      <c r="H102" s="8"/>
      <c r="I102" s="8"/>
      <c r="J102" s="29" t="s">
        <v>63</v>
      </c>
      <c r="K102" s="29" t="s">
        <v>63</v>
      </c>
      <c r="L102" s="29" t="s">
        <v>63</v>
      </c>
    </row>
    <row r="103" spans="1:12" ht="16.25" customHeight="1" x14ac:dyDescent="0.2">
      <c r="A103" s="10">
        <v>45939</v>
      </c>
      <c r="B103" s="56" t="s">
        <v>62</v>
      </c>
      <c r="C103" s="57"/>
      <c r="D103" s="74"/>
      <c r="E103" s="74"/>
      <c r="F103" s="20"/>
      <c r="G103" s="26"/>
      <c r="H103" s="8"/>
      <c r="I103" s="8"/>
      <c r="J103" s="29" t="s">
        <v>63</v>
      </c>
      <c r="K103" s="29" t="s">
        <v>63</v>
      </c>
      <c r="L103" s="29" t="s">
        <v>63</v>
      </c>
    </row>
    <row r="104" spans="1:12" ht="16.25" customHeight="1" x14ac:dyDescent="0.2">
      <c r="A104" s="10">
        <v>45940</v>
      </c>
      <c r="B104" s="56" t="s">
        <v>62</v>
      </c>
      <c r="C104" s="57"/>
      <c r="D104" s="74"/>
      <c r="E104" s="74"/>
      <c r="F104" s="20"/>
      <c r="G104" s="26"/>
      <c r="H104" s="8"/>
      <c r="I104" s="8"/>
      <c r="J104" s="29" t="s">
        <v>63</v>
      </c>
      <c r="K104" s="29" t="s">
        <v>63</v>
      </c>
      <c r="L104" s="29" t="s">
        <v>63</v>
      </c>
    </row>
    <row r="105" spans="1:12" ht="16.25" customHeight="1" x14ac:dyDescent="0.2">
      <c r="A105" s="10">
        <v>45941</v>
      </c>
      <c r="B105" s="56" t="s">
        <v>62</v>
      </c>
      <c r="C105" s="57"/>
      <c r="D105" s="74"/>
      <c r="E105" s="74"/>
      <c r="F105" s="20"/>
      <c r="G105" s="26"/>
      <c r="H105" s="8"/>
      <c r="I105" s="8"/>
      <c r="J105" s="29" t="s">
        <v>63</v>
      </c>
      <c r="K105" s="29" t="s">
        <v>63</v>
      </c>
      <c r="L105" s="29" t="s">
        <v>63</v>
      </c>
    </row>
    <row r="106" spans="1:12" ht="16.25" customHeight="1" x14ac:dyDescent="0.2">
      <c r="A106" s="10">
        <v>45942</v>
      </c>
      <c r="B106" s="56" t="s">
        <v>62</v>
      </c>
      <c r="C106" s="57"/>
      <c r="D106" s="74"/>
      <c r="E106" s="74"/>
      <c r="F106" s="20"/>
      <c r="G106" s="26"/>
      <c r="H106" s="8"/>
      <c r="I106" s="8"/>
      <c r="J106" s="29" t="s">
        <v>63</v>
      </c>
      <c r="K106" s="29" t="s">
        <v>63</v>
      </c>
      <c r="L106" s="29" t="s">
        <v>63</v>
      </c>
    </row>
    <row r="107" spans="1:12" ht="16.25" customHeight="1" x14ac:dyDescent="0.2">
      <c r="A107" s="10">
        <v>45943</v>
      </c>
      <c r="B107" s="56" t="s">
        <v>17</v>
      </c>
      <c r="C107" s="57"/>
      <c r="D107" s="74"/>
      <c r="E107" s="74"/>
      <c r="F107" s="20"/>
      <c r="G107" s="26"/>
      <c r="H107" s="8"/>
      <c r="I107" s="8"/>
      <c r="J107" s="29" t="s">
        <v>63</v>
      </c>
      <c r="K107" s="29" t="s">
        <v>63</v>
      </c>
      <c r="L107" s="29" t="s">
        <v>63</v>
      </c>
    </row>
    <row r="108" spans="1:12" ht="16.25" customHeight="1" x14ac:dyDescent="0.2">
      <c r="A108" s="17">
        <v>45944</v>
      </c>
      <c r="B108" s="64" t="s">
        <v>64</v>
      </c>
      <c r="C108" s="65"/>
      <c r="D108" s="79"/>
      <c r="E108" s="79"/>
      <c r="F108" s="22"/>
      <c r="G108" s="28"/>
      <c r="H108" s="19"/>
      <c r="I108" s="19"/>
      <c r="J108" s="29" t="s">
        <v>65</v>
      </c>
      <c r="K108" s="29" t="s">
        <v>88</v>
      </c>
      <c r="L108" s="29"/>
    </row>
    <row r="109" spans="1:12" ht="16.25" customHeight="1" x14ac:dyDescent="0.2">
      <c r="A109" s="7">
        <v>45945</v>
      </c>
      <c r="B109" s="61">
        <v>1</v>
      </c>
      <c r="C109" s="60"/>
      <c r="D109" s="76"/>
      <c r="E109" s="76"/>
      <c r="F109" s="21"/>
      <c r="G109" s="27">
        <f>1+SUM(G92:G98)</f>
        <v>9</v>
      </c>
      <c r="H109" s="5"/>
      <c r="I109" s="5"/>
      <c r="J109" s="29" t="s">
        <v>88</v>
      </c>
      <c r="K109" s="29"/>
      <c r="L109" s="29"/>
    </row>
    <row r="110" spans="1:12" ht="16.25" customHeight="1" x14ac:dyDescent="0.2">
      <c r="A110" s="7">
        <v>45946</v>
      </c>
      <c r="B110" s="61">
        <v>2</v>
      </c>
      <c r="C110" s="60"/>
      <c r="D110" s="76"/>
      <c r="E110" s="76"/>
      <c r="F110" s="21"/>
      <c r="G110" s="27"/>
      <c r="H110" s="5"/>
      <c r="I110" s="5"/>
      <c r="J110" s="29"/>
      <c r="K110" s="29"/>
      <c r="L110" s="29"/>
    </row>
    <row r="111" spans="1:12" ht="16.25" customHeight="1" x14ac:dyDescent="0.2">
      <c r="A111" s="7">
        <v>45947</v>
      </c>
      <c r="B111" s="61">
        <v>3</v>
      </c>
      <c r="C111" s="60"/>
      <c r="D111" s="76" t="s">
        <v>148</v>
      </c>
      <c r="E111" s="76"/>
      <c r="F111" s="21"/>
      <c r="G111" s="27"/>
      <c r="H111" s="5"/>
      <c r="I111" s="5"/>
      <c r="J111" s="29"/>
      <c r="K111" s="29"/>
      <c r="L111" s="29"/>
    </row>
    <row r="112" spans="1:12" ht="16.25" customHeight="1" x14ac:dyDescent="0.2">
      <c r="A112" s="10">
        <v>45948</v>
      </c>
      <c r="B112" s="56" t="s">
        <v>20</v>
      </c>
      <c r="C112" s="57"/>
      <c r="D112" s="74"/>
      <c r="E112" s="74"/>
      <c r="F112" s="20"/>
      <c r="G112" s="26"/>
      <c r="H112" s="8"/>
      <c r="I112" s="8"/>
      <c r="J112" s="29"/>
      <c r="K112" s="29"/>
      <c r="L112" s="29"/>
    </row>
    <row r="113" spans="1:12" ht="16.25" customHeight="1" x14ac:dyDescent="0.2">
      <c r="A113" s="10">
        <v>45949</v>
      </c>
      <c r="B113" s="56" t="s">
        <v>20</v>
      </c>
      <c r="C113" s="57"/>
      <c r="D113" s="74"/>
      <c r="E113" s="74"/>
      <c r="F113" s="20"/>
      <c r="G113" s="26"/>
      <c r="H113" s="8"/>
      <c r="I113" s="8"/>
      <c r="J113" s="29"/>
      <c r="K113" s="29"/>
      <c r="L113" s="29"/>
    </row>
    <row r="114" spans="1:12" ht="16.25" customHeight="1" x14ac:dyDescent="0.2">
      <c r="A114" s="7">
        <v>45950</v>
      </c>
      <c r="B114" s="61">
        <v>4</v>
      </c>
      <c r="C114" s="60"/>
      <c r="D114" s="76" t="s">
        <v>149</v>
      </c>
      <c r="E114" s="76"/>
      <c r="F114" s="21"/>
      <c r="G114" s="27">
        <f>1+SUM(G105:G111)</f>
        <v>10</v>
      </c>
      <c r="H114" s="5"/>
      <c r="I114" s="5"/>
      <c r="J114" s="29"/>
      <c r="K114" s="29"/>
      <c r="L114" s="29"/>
    </row>
    <row r="115" spans="1:12" ht="16.25" customHeight="1" x14ac:dyDescent="0.2">
      <c r="A115" s="7">
        <v>45951</v>
      </c>
      <c r="B115" s="61">
        <v>5</v>
      </c>
      <c r="C115" s="60"/>
      <c r="D115" s="76" t="s">
        <v>149</v>
      </c>
      <c r="E115" s="76" t="s">
        <v>150</v>
      </c>
      <c r="F115" s="21"/>
      <c r="G115" s="27"/>
      <c r="H115" s="5"/>
      <c r="I115" s="5"/>
      <c r="J115" s="29"/>
      <c r="K115" s="29"/>
      <c r="L115" s="29"/>
    </row>
    <row r="116" spans="1:12" ht="16.25" customHeight="1" x14ac:dyDescent="0.2">
      <c r="A116" s="7">
        <v>45952</v>
      </c>
      <c r="B116" s="61">
        <v>6</v>
      </c>
      <c r="C116" s="60"/>
      <c r="D116" s="76" t="s">
        <v>149</v>
      </c>
      <c r="E116" s="76" t="s">
        <v>150</v>
      </c>
      <c r="F116" s="21">
        <v>7</v>
      </c>
      <c r="G116" s="27"/>
      <c r="H116" s="5"/>
      <c r="I116" s="5"/>
      <c r="J116" s="29"/>
      <c r="K116" s="29"/>
      <c r="L116" s="29"/>
    </row>
    <row r="117" spans="1:12" ht="16.25" customHeight="1" x14ac:dyDescent="0.2">
      <c r="A117" s="7">
        <v>45953</v>
      </c>
      <c r="B117" s="61">
        <v>1</v>
      </c>
      <c r="C117" s="60"/>
      <c r="D117" s="76" t="s">
        <v>149</v>
      </c>
      <c r="E117" s="76" t="s">
        <v>150</v>
      </c>
      <c r="F117" s="21"/>
      <c r="G117" s="27"/>
      <c r="H117" s="5"/>
      <c r="I117" s="5"/>
      <c r="J117" s="29"/>
      <c r="K117" s="29"/>
      <c r="L117" s="29"/>
    </row>
    <row r="118" spans="1:12" ht="16.25" customHeight="1" x14ac:dyDescent="0.2">
      <c r="A118" s="46">
        <v>45954</v>
      </c>
      <c r="B118" s="66" t="s">
        <v>51</v>
      </c>
      <c r="C118" s="67" t="s">
        <v>69</v>
      </c>
      <c r="D118" s="80"/>
      <c r="E118" s="80" t="s">
        <v>151</v>
      </c>
      <c r="F118" s="48"/>
      <c r="G118" s="49"/>
      <c r="H118" s="50"/>
      <c r="I118" s="50"/>
      <c r="J118" s="51"/>
      <c r="K118" s="51"/>
      <c r="L118" s="51"/>
    </row>
    <row r="119" spans="1:12" ht="16.25" customHeight="1" x14ac:dyDescent="0.2">
      <c r="A119" s="10">
        <v>45955</v>
      </c>
      <c r="B119" s="56" t="s">
        <v>20</v>
      </c>
      <c r="C119" s="57"/>
      <c r="D119" s="74"/>
      <c r="E119" s="74"/>
      <c r="F119" s="20"/>
      <c r="G119" s="26"/>
      <c r="H119" s="8"/>
      <c r="I119" s="8"/>
      <c r="J119" s="29"/>
      <c r="K119" s="29"/>
      <c r="L119" s="29"/>
    </row>
    <row r="120" spans="1:12" ht="16.25" customHeight="1" x14ac:dyDescent="0.2">
      <c r="A120" s="10">
        <v>45956</v>
      </c>
      <c r="B120" s="56" t="s">
        <v>20</v>
      </c>
      <c r="C120" s="57"/>
      <c r="D120" s="74"/>
      <c r="E120" s="74"/>
      <c r="F120" s="20"/>
      <c r="G120" s="26"/>
      <c r="H120" s="8"/>
      <c r="I120" s="8"/>
      <c r="J120" s="29"/>
      <c r="K120" s="29"/>
      <c r="L120" s="29"/>
    </row>
    <row r="121" spans="1:12" ht="16.25" customHeight="1" x14ac:dyDescent="0.2">
      <c r="A121" s="7">
        <v>45957</v>
      </c>
      <c r="B121" s="61">
        <v>2</v>
      </c>
      <c r="C121" s="60"/>
      <c r="D121" s="76"/>
      <c r="E121" s="76"/>
      <c r="F121" s="21"/>
      <c r="G121" s="27">
        <f>1+SUM(G112:G118)</f>
        <v>11</v>
      </c>
      <c r="H121" s="5"/>
      <c r="I121" s="5"/>
      <c r="J121" s="29"/>
      <c r="K121" s="29"/>
      <c r="L121" s="29"/>
    </row>
    <row r="122" spans="1:12" ht="16.25" customHeight="1" x14ac:dyDescent="0.2">
      <c r="A122" s="7">
        <v>45958</v>
      </c>
      <c r="B122" s="61">
        <v>3</v>
      </c>
      <c r="C122" s="60"/>
      <c r="D122" s="76" t="s">
        <v>152</v>
      </c>
      <c r="E122" s="76"/>
      <c r="F122" s="21"/>
      <c r="G122" s="27"/>
      <c r="H122" s="5"/>
      <c r="I122" s="5"/>
      <c r="J122" s="29"/>
      <c r="K122" s="29"/>
      <c r="L122" s="29"/>
    </row>
    <row r="123" spans="1:12" ht="16.25" customHeight="1" x14ac:dyDescent="0.2">
      <c r="A123" s="7">
        <v>45959</v>
      </c>
      <c r="B123" s="61">
        <v>4</v>
      </c>
      <c r="C123" s="60"/>
      <c r="D123" s="76"/>
      <c r="E123" s="76"/>
      <c r="F123" s="21"/>
      <c r="G123" s="27"/>
      <c r="H123" s="5"/>
      <c r="I123" s="5"/>
      <c r="J123" s="29"/>
      <c r="K123" s="29"/>
      <c r="L123" s="29"/>
    </row>
    <row r="124" spans="1:12" ht="16.25" customHeight="1" x14ac:dyDescent="0.2">
      <c r="A124" s="7">
        <v>45960</v>
      </c>
      <c r="B124" s="61">
        <v>5</v>
      </c>
      <c r="C124" s="60"/>
      <c r="D124" s="76" t="s">
        <v>153</v>
      </c>
      <c r="E124" s="76"/>
      <c r="F124" s="21"/>
      <c r="G124" s="27"/>
      <c r="H124" s="5"/>
      <c r="I124" s="5"/>
      <c r="J124" s="29"/>
      <c r="K124" s="29"/>
      <c r="L124" s="29"/>
    </row>
    <row r="125" spans="1:12" ht="16.25" customHeight="1" x14ac:dyDescent="0.2">
      <c r="A125" s="7">
        <v>45961</v>
      </c>
      <c r="B125" s="61">
        <v>6</v>
      </c>
      <c r="C125" s="60"/>
      <c r="D125" s="76" t="s">
        <v>154</v>
      </c>
      <c r="E125" s="76"/>
      <c r="F125" s="21">
        <v>8</v>
      </c>
      <c r="G125" s="27"/>
      <c r="H125" s="5"/>
      <c r="I125" s="5"/>
      <c r="J125" s="29"/>
      <c r="K125" s="29"/>
      <c r="L125" s="29"/>
    </row>
    <row r="126" spans="1:12" ht="16.25" customHeight="1" x14ac:dyDescent="0.2">
      <c r="A126" s="10">
        <v>45962</v>
      </c>
      <c r="B126" s="56" t="s">
        <v>20</v>
      </c>
      <c r="C126" s="57"/>
      <c r="D126" s="74"/>
      <c r="E126" s="74"/>
      <c r="F126" s="20"/>
      <c r="G126" s="26"/>
      <c r="H126" s="8"/>
      <c r="I126" s="8"/>
      <c r="J126" s="29"/>
      <c r="K126" s="29"/>
      <c r="L126" s="29"/>
    </row>
    <row r="127" spans="1:12" ht="16.25" customHeight="1" x14ac:dyDescent="0.2">
      <c r="A127" s="10">
        <v>45963</v>
      </c>
      <c r="B127" s="56" t="s">
        <v>20</v>
      </c>
      <c r="C127" s="57"/>
      <c r="D127" s="74"/>
      <c r="E127" s="74"/>
      <c r="F127" s="20"/>
      <c r="G127" s="26"/>
      <c r="H127" s="8"/>
      <c r="I127" s="8"/>
      <c r="J127" s="29"/>
      <c r="K127" s="29"/>
      <c r="L127" s="29"/>
    </row>
    <row r="128" spans="1:12" ht="16.25" customHeight="1" x14ac:dyDescent="0.2">
      <c r="A128" s="10">
        <v>45964</v>
      </c>
      <c r="B128" s="56" t="s">
        <v>17</v>
      </c>
      <c r="C128" s="57"/>
      <c r="D128" s="74"/>
      <c r="E128" s="74"/>
      <c r="F128" s="20"/>
      <c r="G128" s="26"/>
      <c r="H128" s="8"/>
      <c r="I128" s="8"/>
      <c r="J128" s="29"/>
      <c r="K128" s="29"/>
      <c r="L128" s="29"/>
    </row>
    <row r="129" spans="1:12" ht="16.25" customHeight="1" x14ac:dyDescent="0.2">
      <c r="A129" s="7">
        <v>45965</v>
      </c>
      <c r="B129" s="61">
        <v>1</v>
      </c>
      <c r="C129" s="60"/>
      <c r="D129" s="76" t="s">
        <v>155</v>
      </c>
      <c r="E129" s="76"/>
      <c r="F129" s="21"/>
      <c r="G129" s="27">
        <f>1+SUM(G120:G126)</f>
        <v>12</v>
      </c>
      <c r="H129" s="5"/>
      <c r="I129" s="5"/>
      <c r="J129" s="29"/>
      <c r="K129" s="29"/>
      <c r="L129" s="29"/>
    </row>
    <row r="130" spans="1:12" ht="16.25" customHeight="1" x14ac:dyDescent="0.2">
      <c r="A130" s="7">
        <v>45966</v>
      </c>
      <c r="B130" s="61">
        <v>2</v>
      </c>
      <c r="C130" s="60"/>
      <c r="D130" s="76"/>
      <c r="E130" s="76"/>
      <c r="F130" s="21"/>
      <c r="G130" s="27"/>
      <c r="H130" s="5"/>
      <c r="I130" s="5"/>
      <c r="J130" s="29"/>
      <c r="K130" s="29"/>
      <c r="L130" s="29"/>
    </row>
    <row r="131" spans="1:12" ht="16.25" customHeight="1" x14ac:dyDescent="0.2">
      <c r="A131" s="7">
        <v>45967</v>
      </c>
      <c r="B131" s="61">
        <v>3</v>
      </c>
      <c r="C131" s="60"/>
      <c r="D131" s="76" t="s">
        <v>156</v>
      </c>
      <c r="E131" s="76"/>
      <c r="F131" s="21"/>
      <c r="G131" s="27"/>
      <c r="H131" s="5"/>
      <c r="I131" s="5"/>
      <c r="J131" s="29"/>
      <c r="K131" s="29"/>
      <c r="L131" s="29"/>
    </row>
    <row r="132" spans="1:12" ht="16.25" customHeight="1" x14ac:dyDescent="0.2">
      <c r="A132" s="7">
        <v>45968</v>
      </c>
      <c r="B132" s="61">
        <v>4</v>
      </c>
      <c r="C132" s="60"/>
      <c r="D132" s="76"/>
      <c r="E132" s="76"/>
      <c r="F132" s="21"/>
      <c r="G132" s="27"/>
      <c r="H132" s="5"/>
      <c r="I132" s="5"/>
      <c r="J132" s="29"/>
      <c r="K132" s="29"/>
      <c r="L132" s="29"/>
    </row>
    <row r="133" spans="1:12" ht="16.25" customHeight="1" x14ac:dyDescent="0.2">
      <c r="A133" s="10">
        <v>45969</v>
      </c>
      <c r="B133" s="56" t="s">
        <v>20</v>
      </c>
      <c r="C133" s="57"/>
      <c r="D133" s="74"/>
      <c r="E133" s="74"/>
      <c r="F133" s="20"/>
      <c r="G133" s="26"/>
      <c r="H133" s="8"/>
      <c r="I133" s="8"/>
      <c r="J133" s="29"/>
      <c r="K133" s="29"/>
      <c r="L133" s="29"/>
    </row>
    <row r="134" spans="1:12" ht="16.25" customHeight="1" x14ac:dyDescent="0.2">
      <c r="A134" s="10">
        <v>45970</v>
      </c>
      <c r="B134" s="56" t="s">
        <v>20</v>
      </c>
      <c r="C134" s="57"/>
      <c r="D134" s="74"/>
      <c r="E134" s="74"/>
      <c r="F134" s="20"/>
      <c r="G134" s="26"/>
      <c r="H134" s="8"/>
      <c r="I134" s="8"/>
      <c r="J134" s="29"/>
      <c r="K134" s="29"/>
      <c r="L134" s="29"/>
    </row>
    <row r="135" spans="1:12" ht="16.25" customHeight="1" x14ac:dyDescent="0.2">
      <c r="A135" s="7">
        <v>45971</v>
      </c>
      <c r="B135" s="61">
        <v>5</v>
      </c>
      <c r="C135" s="60"/>
      <c r="D135" s="76"/>
      <c r="E135" s="76"/>
      <c r="F135" s="21"/>
      <c r="G135" s="27">
        <f>1+SUM(G126:G132)</f>
        <v>13</v>
      </c>
      <c r="H135" s="5"/>
      <c r="I135" s="5"/>
      <c r="J135" s="29"/>
      <c r="K135" s="29"/>
      <c r="L135" s="29"/>
    </row>
    <row r="136" spans="1:12" ht="16.25" customHeight="1" x14ac:dyDescent="0.2">
      <c r="A136" s="7">
        <v>45972</v>
      </c>
      <c r="B136" s="61">
        <v>6</v>
      </c>
      <c r="C136" s="60"/>
      <c r="D136" s="76" t="s">
        <v>157</v>
      </c>
      <c r="E136" s="76"/>
      <c r="F136" s="21">
        <v>9</v>
      </c>
      <c r="G136" s="27"/>
      <c r="H136" s="5"/>
      <c r="I136" s="5"/>
      <c r="J136" s="29"/>
      <c r="K136" s="29"/>
      <c r="L136" s="29"/>
    </row>
    <row r="137" spans="1:12" ht="16.25" customHeight="1" x14ac:dyDescent="0.2">
      <c r="A137" s="7">
        <v>45973</v>
      </c>
      <c r="B137" s="61">
        <v>1</v>
      </c>
      <c r="C137" s="60"/>
      <c r="D137" s="76"/>
      <c r="E137" s="76" t="s">
        <v>158</v>
      </c>
      <c r="F137" s="21"/>
      <c r="G137" s="27"/>
      <c r="H137" s="5"/>
      <c r="I137" s="5"/>
      <c r="J137" s="29"/>
      <c r="K137" s="29"/>
      <c r="L137" s="29"/>
    </row>
    <row r="138" spans="1:12" ht="16.25" customHeight="1" x14ac:dyDescent="0.2">
      <c r="A138" s="7">
        <v>45974</v>
      </c>
      <c r="B138" s="61">
        <v>2</v>
      </c>
      <c r="C138" s="60"/>
      <c r="D138" s="76"/>
      <c r="E138" s="76"/>
      <c r="F138" s="21"/>
      <c r="G138" s="27"/>
      <c r="H138" s="5"/>
      <c r="I138" s="5"/>
      <c r="J138" s="29"/>
      <c r="K138" s="29"/>
      <c r="L138" s="29"/>
    </row>
    <row r="139" spans="1:12" ht="16.25" customHeight="1" x14ac:dyDescent="0.2">
      <c r="A139" s="7">
        <v>45975</v>
      </c>
      <c r="B139" s="61">
        <v>3</v>
      </c>
      <c r="C139" s="60"/>
      <c r="D139" s="76"/>
      <c r="E139" s="76"/>
      <c r="F139" s="21"/>
      <c r="G139" s="27"/>
      <c r="H139" s="5"/>
      <c r="I139" s="5"/>
      <c r="J139" s="29" t="s">
        <v>65</v>
      </c>
      <c r="K139" s="29"/>
      <c r="L139" s="29"/>
    </row>
    <row r="140" spans="1:12" ht="16.25" customHeight="1" x14ac:dyDescent="0.2">
      <c r="A140" s="10">
        <v>45976</v>
      </c>
      <c r="B140" s="56" t="s">
        <v>20</v>
      </c>
      <c r="C140" s="57"/>
      <c r="D140" s="74"/>
      <c r="E140" s="74"/>
      <c r="F140" s="20"/>
      <c r="G140" s="26"/>
      <c r="H140" s="8"/>
      <c r="I140" s="8"/>
      <c r="J140" s="29"/>
      <c r="K140" s="29"/>
      <c r="L140" s="29"/>
    </row>
    <row r="141" spans="1:12" ht="16.25" customHeight="1" x14ac:dyDescent="0.2">
      <c r="A141" s="10">
        <v>45977</v>
      </c>
      <c r="B141" s="56" t="s">
        <v>20</v>
      </c>
      <c r="C141" s="57"/>
      <c r="D141" s="74"/>
      <c r="E141" s="74"/>
      <c r="F141" s="20"/>
      <c r="G141" s="26"/>
      <c r="H141" s="8"/>
      <c r="I141" s="8"/>
      <c r="J141" s="29"/>
      <c r="K141" s="29"/>
      <c r="L141" s="29"/>
    </row>
    <row r="142" spans="1:12" ht="16.25" customHeight="1" x14ac:dyDescent="0.2">
      <c r="A142" s="10">
        <v>45978</v>
      </c>
      <c r="B142" s="56" t="s">
        <v>17</v>
      </c>
      <c r="C142" s="57"/>
      <c r="D142" s="74"/>
      <c r="E142" s="74"/>
      <c r="F142" s="20"/>
      <c r="G142" s="26"/>
      <c r="H142" s="8"/>
      <c r="I142" s="8"/>
      <c r="J142" s="29"/>
      <c r="K142" s="29"/>
      <c r="L142" s="29"/>
    </row>
    <row r="143" spans="1:12" ht="16.25" customHeight="1" x14ac:dyDescent="0.2">
      <c r="A143" s="7">
        <v>45979</v>
      </c>
      <c r="B143" s="61">
        <v>4</v>
      </c>
      <c r="C143" s="60"/>
      <c r="D143" s="76"/>
      <c r="E143" s="76"/>
      <c r="F143" s="21"/>
      <c r="G143" s="27">
        <f>1+SUM(G134:G140)</f>
        <v>14</v>
      </c>
      <c r="H143" s="5"/>
      <c r="I143" s="5"/>
      <c r="J143" s="29"/>
      <c r="K143" s="29"/>
      <c r="L143" s="29"/>
    </row>
    <row r="144" spans="1:12" ht="16.25" customHeight="1" x14ac:dyDescent="0.2">
      <c r="A144" s="7">
        <v>45980</v>
      </c>
      <c r="B144" s="61">
        <v>5</v>
      </c>
      <c r="C144" s="60"/>
      <c r="D144" s="76"/>
      <c r="E144" s="76"/>
      <c r="F144" s="21"/>
      <c r="G144" s="27"/>
      <c r="H144" s="5"/>
      <c r="I144" s="5"/>
      <c r="J144" s="29"/>
      <c r="K144" s="29"/>
      <c r="L144" s="29"/>
    </row>
    <row r="145" spans="1:12" ht="16.25" customHeight="1" x14ac:dyDescent="0.2">
      <c r="A145" s="7">
        <v>45981</v>
      </c>
      <c r="B145" s="61">
        <v>6</v>
      </c>
      <c r="C145" s="60"/>
      <c r="D145" s="76"/>
      <c r="E145" s="76" t="s">
        <v>159</v>
      </c>
      <c r="F145" s="21">
        <v>10</v>
      </c>
      <c r="G145" s="27"/>
      <c r="H145" s="5"/>
      <c r="I145" s="5"/>
      <c r="J145" s="29"/>
      <c r="K145" s="29"/>
      <c r="L145" s="29"/>
    </row>
    <row r="146" spans="1:12" ht="16.25" customHeight="1" x14ac:dyDescent="0.2">
      <c r="A146" s="7">
        <v>45982</v>
      </c>
      <c r="B146" s="61">
        <v>1</v>
      </c>
      <c r="C146" s="60"/>
      <c r="D146" s="76" t="s">
        <v>160</v>
      </c>
      <c r="E146" s="76" t="s">
        <v>159</v>
      </c>
      <c r="F146" s="21"/>
      <c r="G146" s="27"/>
      <c r="H146" s="5"/>
      <c r="I146" s="5"/>
      <c r="J146" s="29"/>
      <c r="K146" s="29"/>
      <c r="L146" s="29"/>
    </row>
    <row r="147" spans="1:12" ht="16.25" customHeight="1" x14ac:dyDescent="0.2">
      <c r="A147" s="10">
        <v>45983</v>
      </c>
      <c r="B147" s="56" t="s">
        <v>20</v>
      </c>
      <c r="C147" s="57"/>
      <c r="D147" s="74"/>
      <c r="E147" s="74"/>
      <c r="F147" s="20"/>
      <c r="G147" s="26"/>
      <c r="H147" s="8"/>
      <c r="I147" s="8"/>
      <c r="J147" s="29"/>
      <c r="K147" s="29"/>
      <c r="L147" s="29"/>
    </row>
    <row r="148" spans="1:12" ht="16.25" customHeight="1" x14ac:dyDescent="0.2">
      <c r="A148" s="10">
        <v>45984</v>
      </c>
      <c r="B148" s="56" t="s">
        <v>20</v>
      </c>
      <c r="C148" s="57"/>
      <c r="D148" s="74"/>
      <c r="E148" s="74"/>
      <c r="F148" s="20"/>
      <c r="G148" s="26"/>
      <c r="H148" s="8"/>
      <c r="I148" s="8"/>
      <c r="J148" s="29"/>
      <c r="K148" s="29"/>
      <c r="L148" s="29"/>
    </row>
    <row r="149" spans="1:12" ht="16.25" customHeight="1" x14ac:dyDescent="0.2">
      <c r="A149" s="7">
        <v>45985</v>
      </c>
      <c r="B149" s="61">
        <v>2</v>
      </c>
      <c r="C149" s="60"/>
      <c r="D149" s="76"/>
      <c r="E149" s="76" t="s">
        <v>159</v>
      </c>
      <c r="F149" s="21"/>
      <c r="G149" s="27">
        <f>1+SUM(G140:G146)</f>
        <v>15</v>
      </c>
      <c r="H149" s="5"/>
      <c r="I149" s="5"/>
      <c r="J149" s="29"/>
      <c r="K149" s="29"/>
      <c r="L149" s="29"/>
    </row>
    <row r="150" spans="1:12" ht="16.25" customHeight="1" x14ac:dyDescent="0.2">
      <c r="A150" s="7">
        <v>45986</v>
      </c>
      <c r="B150" s="61">
        <v>3</v>
      </c>
      <c r="C150" s="60"/>
      <c r="D150" s="76" t="s">
        <v>161</v>
      </c>
      <c r="E150" s="76"/>
      <c r="F150" s="21"/>
      <c r="G150" s="27"/>
      <c r="H150" s="5"/>
      <c r="I150" s="5"/>
      <c r="J150" s="29"/>
      <c r="K150" s="29"/>
      <c r="L150" s="29"/>
    </row>
    <row r="151" spans="1:12" ht="16.25" customHeight="1" x14ac:dyDescent="0.2">
      <c r="A151" s="7">
        <v>45987</v>
      </c>
      <c r="B151" s="61">
        <v>4</v>
      </c>
      <c r="C151" s="60"/>
      <c r="D151" s="76"/>
      <c r="E151" s="76"/>
      <c r="F151" s="21"/>
      <c r="G151" s="27"/>
      <c r="H151" s="5"/>
      <c r="I151" s="5"/>
      <c r="J151" s="29"/>
      <c r="K151" s="29"/>
      <c r="L151" s="29"/>
    </row>
    <row r="152" spans="1:12" ht="16.25" customHeight="1" x14ac:dyDescent="0.2">
      <c r="A152" s="7">
        <v>45988</v>
      </c>
      <c r="B152" s="61">
        <v>5</v>
      </c>
      <c r="C152" s="60"/>
      <c r="D152" s="76"/>
      <c r="E152" s="76"/>
      <c r="F152" s="21"/>
      <c r="G152" s="27"/>
      <c r="H152" s="5"/>
      <c r="I152" s="5"/>
      <c r="J152" s="29"/>
      <c r="K152" s="29"/>
      <c r="L152" s="29"/>
    </row>
    <row r="153" spans="1:12" ht="16.25" customHeight="1" x14ac:dyDescent="0.2">
      <c r="A153" s="7">
        <v>45989</v>
      </c>
      <c r="B153" s="58" t="s">
        <v>51</v>
      </c>
      <c r="C153" s="60" t="s">
        <v>162</v>
      </c>
      <c r="D153" s="76" t="s">
        <v>162</v>
      </c>
      <c r="E153" s="76"/>
      <c r="F153" s="21"/>
      <c r="G153" s="27"/>
      <c r="H153" s="5"/>
      <c r="I153" s="5"/>
      <c r="J153" s="29"/>
      <c r="K153" s="29"/>
      <c r="L153" s="29"/>
    </row>
    <row r="154" spans="1:12" ht="16.25" customHeight="1" x14ac:dyDescent="0.2">
      <c r="A154" s="10">
        <v>45990</v>
      </c>
      <c r="B154" s="56" t="s">
        <v>20</v>
      </c>
      <c r="C154" s="57"/>
      <c r="D154" s="74"/>
      <c r="E154" s="74"/>
      <c r="F154" s="20"/>
      <c r="G154" s="26"/>
      <c r="H154" s="8"/>
      <c r="I154" s="8"/>
      <c r="J154" s="29"/>
      <c r="K154" s="29"/>
      <c r="L154" s="29"/>
    </row>
    <row r="155" spans="1:12" ht="16.25" customHeight="1" x14ac:dyDescent="0.2">
      <c r="A155" s="10">
        <v>45991</v>
      </c>
      <c r="B155" s="56" t="s">
        <v>20</v>
      </c>
      <c r="C155" s="57"/>
      <c r="D155" s="74"/>
      <c r="E155" s="74"/>
      <c r="F155" s="20"/>
      <c r="G155" s="26"/>
      <c r="H155" s="8"/>
      <c r="I155" s="8"/>
      <c r="J155" s="29"/>
      <c r="K155" s="29"/>
      <c r="L155" s="29"/>
    </row>
    <row r="156" spans="1:12" ht="16.25" customHeight="1" x14ac:dyDescent="0.2">
      <c r="A156" s="7">
        <v>45992</v>
      </c>
      <c r="B156" s="61">
        <v>6</v>
      </c>
      <c r="C156" s="60"/>
      <c r="D156" s="76"/>
      <c r="E156" s="76"/>
      <c r="F156" s="21">
        <v>11</v>
      </c>
      <c r="G156" s="27">
        <f>1+SUM(G147:G153)</f>
        <v>16</v>
      </c>
      <c r="H156" s="5"/>
      <c r="I156" s="5"/>
      <c r="J156" s="29"/>
      <c r="K156" s="29"/>
      <c r="L156" s="29"/>
    </row>
    <row r="157" spans="1:12" ht="16.25" customHeight="1" x14ac:dyDescent="0.2">
      <c r="A157" s="7">
        <v>45993</v>
      </c>
      <c r="B157" s="61">
        <v>1</v>
      </c>
      <c r="C157" s="60"/>
      <c r="D157" s="76"/>
      <c r="E157" s="76"/>
      <c r="F157" s="21"/>
      <c r="G157" s="27"/>
      <c r="H157" s="5"/>
      <c r="I157" s="5"/>
      <c r="J157" s="29"/>
      <c r="K157" s="29"/>
      <c r="L157" s="29"/>
    </row>
    <row r="158" spans="1:12" ht="16.25" customHeight="1" x14ac:dyDescent="0.2">
      <c r="A158" s="7">
        <v>45994</v>
      </c>
      <c r="B158" s="61">
        <v>2</v>
      </c>
      <c r="C158" s="60" t="s">
        <v>77</v>
      </c>
      <c r="D158" s="76"/>
      <c r="E158" s="76"/>
      <c r="F158" s="21"/>
      <c r="G158" s="27"/>
      <c r="H158" s="5"/>
      <c r="I158" s="5"/>
      <c r="J158" s="29"/>
      <c r="K158" s="29"/>
      <c r="L158" s="29"/>
    </row>
    <row r="159" spans="1:12" ht="16.25" customHeight="1" x14ac:dyDescent="0.2">
      <c r="A159" s="7">
        <v>45995</v>
      </c>
      <c r="B159" s="61">
        <v>3</v>
      </c>
      <c r="C159" s="60" t="s">
        <v>77</v>
      </c>
      <c r="D159" s="76"/>
      <c r="E159" s="76"/>
      <c r="F159" s="21"/>
      <c r="G159" s="27"/>
      <c r="H159" s="5"/>
      <c r="I159" s="5"/>
      <c r="J159" s="29"/>
      <c r="K159" s="29"/>
      <c r="L159" s="29"/>
    </row>
    <row r="160" spans="1:12" ht="16.25" customHeight="1" x14ac:dyDescent="0.2">
      <c r="A160" s="7">
        <v>45996</v>
      </c>
      <c r="B160" s="61">
        <v>4</v>
      </c>
      <c r="C160" s="60" t="s">
        <v>77</v>
      </c>
      <c r="D160" s="76"/>
      <c r="E160" s="76"/>
      <c r="F160" s="21"/>
      <c r="G160" s="27"/>
      <c r="H160" s="5"/>
      <c r="I160" s="5"/>
      <c r="J160" s="29"/>
      <c r="K160" s="29"/>
      <c r="L160" s="29"/>
    </row>
    <row r="161" spans="1:12" ht="16.25" customHeight="1" x14ac:dyDescent="0.2">
      <c r="A161" s="10">
        <v>45997</v>
      </c>
      <c r="B161" s="56" t="s">
        <v>20</v>
      </c>
      <c r="C161" s="57"/>
      <c r="D161" s="74"/>
      <c r="E161" s="74"/>
      <c r="F161" s="20"/>
      <c r="G161" s="26"/>
      <c r="H161" s="8"/>
      <c r="I161" s="8"/>
      <c r="J161" s="29"/>
      <c r="K161" s="29"/>
      <c r="L161" s="29"/>
    </row>
    <row r="162" spans="1:12" ht="16.25" customHeight="1" x14ac:dyDescent="0.2">
      <c r="A162" s="10">
        <v>45998</v>
      </c>
      <c r="B162" s="56" t="s">
        <v>20</v>
      </c>
      <c r="C162" s="57"/>
      <c r="D162" s="74"/>
      <c r="E162" s="74"/>
      <c r="F162" s="20"/>
      <c r="G162" s="26"/>
      <c r="H162" s="8"/>
      <c r="I162" s="8"/>
      <c r="J162" s="29"/>
      <c r="K162" s="29"/>
      <c r="L162" s="29"/>
    </row>
    <row r="163" spans="1:12" ht="16.25" customHeight="1" x14ac:dyDescent="0.2">
      <c r="A163" s="10">
        <v>45999</v>
      </c>
      <c r="B163" s="56" t="s">
        <v>17</v>
      </c>
      <c r="C163" s="57"/>
      <c r="D163" s="74"/>
      <c r="E163" s="74"/>
      <c r="F163" s="20"/>
      <c r="G163" s="26"/>
      <c r="H163" s="8"/>
      <c r="I163" s="8"/>
      <c r="J163" s="29"/>
      <c r="K163" s="29"/>
      <c r="L163" s="29"/>
    </row>
    <row r="164" spans="1:12" ht="16.25" customHeight="1" x14ac:dyDescent="0.2">
      <c r="A164" s="7">
        <v>46000</v>
      </c>
      <c r="B164" s="61">
        <v>5</v>
      </c>
      <c r="C164" s="60" t="s">
        <v>77</v>
      </c>
      <c r="D164" s="76"/>
      <c r="E164" s="76"/>
      <c r="F164" s="21"/>
      <c r="G164" s="27">
        <f>1+SUM(G155:G161)</f>
        <v>17</v>
      </c>
      <c r="H164" s="5"/>
      <c r="I164" s="5"/>
      <c r="J164" s="29"/>
      <c r="K164" s="29"/>
      <c r="L164" s="29"/>
    </row>
    <row r="165" spans="1:12" ht="16.25" customHeight="1" x14ac:dyDescent="0.2">
      <c r="A165" s="7">
        <v>46001</v>
      </c>
      <c r="B165" s="61">
        <v>6</v>
      </c>
      <c r="C165" s="60" t="s">
        <v>77</v>
      </c>
      <c r="D165" s="76"/>
      <c r="E165" s="76"/>
      <c r="F165" s="21">
        <v>12</v>
      </c>
      <c r="G165" s="27"/>
      <c r="H165" s="5"/>
      <c r="I165" s="5"/>
      <c r="J165" s="29"/>
      <c r="K165" s="29"/>
      <c r="L165" s="29"/>
    </row>
    <row r="166" spans="1:12" ht="16.25" customHeight="1" x14ac:dyDescent="0.2">
      <c r="A166" s="7">
        <v>46002</v>
      </c>
      <c r="B166" s="61">
        <v>1</v>
      </c>
      <c r="C166" s="60" t="s">
        <v>77</v>
      </c>
      <c r="D166" s="76"/>
      <c r="E166" s="76"/>
      <c r="F166" s="21"/>
      <c r="G166" s="27"/>
      <c r="H166" s="5"/>
      <c r="I166" s="5"/>
      <c r="J166" s="29"/>
      <c r="K166" s="29" t="s">
        <v>79</v>
      </c>
      <c r="L166" s="29"/>
    </row>
    <row r="167" spans="1:12" ht="16.25" customHeight="1" x14ac:dyDescent="0.2">
      <c r="A167" s="7">
        <v>46003</v>
      </c>
      <c r="B167" s="61">
        <v>2</v>
      </c>
      <c r="C167" s="60" t="s">
        <v>77</v>
      </c>
      <c r="D167" s="76"/>
      <c r="E167" s="76"/>
      <c r="F167" s="21"/>
      <c r="G167" s="27"/>
      <c r="H167" s="5"/>
      <c r="I167" s="5"/>
      <c r="J167" s="29"/>
      <c r="K167" s="29" t="s">
        <v>80</v>
      </c>
      <c r="L167" s="29"/>
    </row>
    <row r="168" spans="1:12" ht="16.25" customHeight="1" x14ac:dyDescent="0.2">
      <c r="A168" s="10">
        <v>46004</v>
      </c>
      <c r="B168" s="56" t="s">
        <v>20</v>
      </c>
      <c r="C168" s="57"/>
      <c r="D168" s="74"/>
      <c r="E168" s="74"/>
      <c r="F168" s="20"/>
      <c r="G168" s="26"/>
      <c r="H168" s="8"/>
      <c r="I168" s="8"/>
      <c r="J168" s="29" t="s">
        <v>81</v>
      </c>
      <c r="K168" s="29" t="s">
        <v>81</v>
      </c>
      <c r="L168" s="29" t="s">
        <v>81</v>
      </c>
    </row>
    <row r="169" spans="1:12" ht="16.25" customHeight="1" x14ac:dyDescent="0.2">
      <c r="A169" s="10">
        <v>46005</v>
      </c>
      <c r="B169" s="56" t="s">
        <v>20</v>
      </c>
      <c r="C169" s="57"/>
      <c r="D169" s="74"/>
      <c r="E169" s="74"/>
      <c r="F169" s="20"/>
      <c r="G169" s="26"/>
      <c r="H169" s="8"/>
      <c r="I169" s="8"/>
      <c r="J169" s="29" t="s">
        <v>81</v>
      </c>
      <c r="K169" s="29" t="s">
        <v>81</v>
      </c>
      <c r="L169" s="29" t="s">
        <v>81</v>
      </c>
    </row>
    <row r="170" spans="1:12" ht="16.25" customHeight="1" x14ac:dyDescent="0.2">
      <c r="A170" s="7">
        <v>46006</v>
      </c>
      <c r="B170" s="58" t="s">
        <v>51</v>
      </c>
      <c r="C170" s="60" t="s">
        <v>82</v>
      </c>
      <c r="D170" s="76" t="s">
        <v>163</v>
      </c>
      <c r="E170" s="76"/>
      <c r="F170" s="21"/>
      <c r="G170" s="27">
        <f>1+SUM(G161:G167)</f>
        <v>18</v>
      </c>
      <c r="H170" s="5"/>
      <c r="I170" s="5"/>
      <c r="J170" s="29" t="s">
        <v>81</v>
      </c>
      <c r="K170" s="29" t="s">
        <v>81</v>
      </c>
      <c r="L170" s="29" t="s">
        <v>81</v>
      </c>
    </row>
    <row r="171" spans="1:12" ht="16.25" customHeight="1" x14ac:dyDescent="0.2">
      <c r="A171" s="37">
        <v>46007</v>
      </c>
      <c r="B171" s="68" t="s">
        <v>51</v>
      </c>
      <c r="C171" s="63" t="s">
        <v>83</v>
      </c>
      <c r="D171" s="78" t="s">
        <v>163</v>
      </c>
      <c r="E171" s="78" t="s">
        <v>164</v>
      </c>
      <c r="F171" s="40"/>
      <c r="G171" s="41"/>
      <c r="H171" s="42"/>
      <c r="I171" s="42"/>
      <c r="J171" s="43" t="s">
        <v>81</v>
      </c>
      <c r="K171" s="43" t="s">
        <v>81</v>
      </c>
      <c r="L171" s="43" t="s">
        <v>81</v>
      </c>
    </row>
    <row r="172" spans="1:12" ht="16.25" customHeight="1" x14ac:dyDescent="0.2">
      <c r="A172" s="10">
        <v>46008</v>
      </c>
      <c r="B172" s="56" t="s">
        <v>84</v>
      </c>
      <c r="C172" s="57"/>
      <c r="D172" s="74"/>
      <c r="E172" s="74"/>
      <c r="F172" s="20"/>
      <c r="G172" s="26"/>
      <c r="H172" s="8"/>
      <c r="I172" s="8"/>
      <c r="J172" s="29" t="s">
        <v>81</v>
      </c>
      <c r="K172" s="29" t="s">
        <v>81</v>
      </c>
      <c r="L172" s="29" t="s">
        <v>81</v>
      </c>
    </row>
    <row r="173" spans="1:12" ht="16.25" customHeight="1" x14ac:dyDescent="0.2">
      <c r="A173" s="10">
        <v>46009</v>
      </c>
      <c r="B173" s="56" t="s">
        <v>84</v>
      </c>
      <c r="C173" s="57"/>
      <c r="D173" s="74"/>
      <c r="E173" s="74"/>
      <c r="F173" s="20"/>
      <c r="G173" s="26"/>
      <c r="H173" s="8"/>
      <c r="I173" s="8"/>
      <c r="J173" s="29" t="s">
        <v>81</v>
      </c>
      <c r="K173" s="29" t="s">
        <v>81</v>
      </c>
      <c r="L173" s="29" t="s">
        <v>81</v>
      </c>
    </row>
    <row r="174" spans="1:12" ht="16.25" customHeight="1" x14ac:dyDescent="0.2">
      <c r="A174" s="10">
        <v>46010</v>
      </c>
      <c r="B174" s="56" t="s">
        <v>84</v>
      </c>
      <c r="C174" s="57"/>
      <c r="D174" s="74"/>
      <c r="E174" s="74"/>
      <c r="F174" s="20"/>
      <c r="G174" s="26"/>
      <c r="H174" s="8"/>
      <c r="I174" s="8"/>
      <c r="J174" s="29" t="s">
        <v>81</v>
      </c>
      <c r="K174" s="29" t="s">
        <v>81</v>
      </c>
      <c r="L174" s="29" t="s">
        <v>81</v>
      </c>
    </row>
    <row r="175" spans="1:12" ht="16.25" customHeight="1" x14ac:dyDescent="0.2">
      <c r="A175" s="10">
        <v>46011</v>
      </c>
      <c r="B175" s="56" t="s">
        <v>20</v>
      </c>
      <c r="C175" s="57"/>
      <c r="D175" s="74"/>
      <c r="E175" s="74"/>
      <c r="F175" s="20"/>
      <c r="G175" s="26"/>
      <c r="H175" s="8"/>
      <c r="I175" s="8"/>
      <c r="J175" s="29" t="s">
        <v>81</v>
      </c>
      <c r="K175" s="29" t="s">
        <v>81</v>
      </c>
      <c r="L175" s="29" t="s">
        <v>81</v>
      </c>
    </row>
    <row r="176" spans="1:12" ht="16.25" customHeight="1" x14ac:dyDescent="0.2">
      <c r="A176" s="10">
        <v>46012</v>
      </c>
      <c r="B176" s="56" t="s">
        <v>20</v>
      </c>
      <c r="C176" s="57"/>
      <c r="D176" s="74"/>
      <c r="E176" s="74"/>
      <c r="F176" s="20"/>
      <c r="G176" s="26"/>
      <c r="H176" s="8"/>
      <c r="I176" s="8"/>
      <c r="J176" s="29" t="s">
        <v>81</v>
      </c>
      <c r="K176" s="29" t="s">
        <v>81</v>
      </c>
      <c r="L176" s="29" t="s">
        <v>81</v>
      </c>
    </row>
    <row r="177" spans="1:12" ht="16.25" customHeight="1" x14ac:dyDescent="0.2">
      <c r="A177" s="10">
        <v>46013</v>
      </c>
      <c r="B177" s="56" t="s">
        <v>84</v>
      </c>
      <c r="C177" s="57"/>
      <c r="D177" s="74"/>
      <c r="E177" s="74"/>
      <c r="F177" s="20"/>
      <c r="G177" s="26"/>
      <c r="H177" s="8"/>
      <c r="I177" s="8"/>
      <c r="J177" s="29" t="s">
        <v>81</v>
      </c>
      <c r="K177" s="29" t="s">
        <v>81</v>
      </c>
      <c r="L177" s="29" t="s">
        <v>81</v>
      </c>
    </row>
    <row r="178" spans="1:12" ht="16.25" customHeight="1" x14ac:dyDescent="0.2">
      <c r="A178" s="10">
        <v>46014</v>
      </c>
      <c r="B178" s="56" t="s">
        <v>84</v>
      </c>
      <c r="C178" s="57"/>
      <c r="D178" s="74"/>
      <c r="E178" s="74"/>
      <c r="F178" s="20"/>
      <c r="G178" s="26"/>
      <c r="H178" s="8"/>
      <c r="I178" s="8"/>
      <c r="J178" s="29" t="s">
        <v>81</v>
      </c>
      <c r="K178" s="29" t="s">
        <v>81</v>
      </c>
      <c r="L178" s="29" t="s">
        <v>81</v>
      </c>
    </row>
    <row r="179" spans="1:12" ht="16.25" customHeight="1" x14ac:dyDescent="0.2">
      <c r="A179" s="10">
        <v>46015</v>
      </c>
      <c r="B179" s="56" t="s">
        <v>84</v>
      </c>
      <c r="C179" s="57"/>
      <c r="D179" s="74"/>
      <c r="E179" s="74"/>
      <c r="F179" s="20"/>
      <c r="G179" s="26"/>
      <c r="H179" s="8"/>
      <c r="I179" s="8"/>
      <c r="J179" s="29" t="s">
        <v>81</v>
      </c>
      <c r="K179" s="29" t="s">
        <v>81</v>
      </c>
      <c r="L179" s="29" t="s">
        <v>81</v>
      </c>
    </row>
    <row r="180" spans="1:12" ht="16.25" customHeight="1" x14ac:dyDescent="0.2">
      <c r="A180" s="10">
        <v>46016</v>
      </c>
      <c r="B180" s="56" t="s">
        <v>17</v>
      </c>
      <c r="C180" s="57"/>
      <c r="D180" s="74"/>
      <c r="E180" s="74"/>
      <c r="F180" s="20"/>
      <c r="G180" s="26"/>
      <c r="H180" s="8"/>
      <c r="I180" s="8"/>
      <c r="J180" s="29" t="s">
        <v>81</v>
      </c>
      <c r="K180" s="29" t="s">
        <v>81</v>
      </c>
      <c r="L180" s="29" t="s">
        <v>81</v>
      </c>
    </row>
    <row r="181" spans="1:12" ht="16.25" customHeight="1" x14ac:dyDescent="0.2">
      <c r="A181" s="10">
        <v>46017</v>
      </c>
      <c r="B181" s="56" t="s">
        <v>84</v>
      </c>
      <c r="C181" s="57"/>
      <c r="D181" s="74"/>
      <c r="E181" s="74"/>
      <c r="F181" s="20"/>
      <c r="G181" s="26"/>
      <c r="H181" s="8"/>
      <c r="I181" s="8"/>
      <c r="J181" s="29" t="s">
        <v>81</v>
      </c>
      <c r="K181" s="29" t="s">
        <v>81</v>
      </c>
      <c r="L181" s="29" t="s">
        <v>81</v>
      </c>
    </row>
    <row r="182" spans="1:12" ht="16.25" customHeight="1" x14ac:dyDescent="0.2">
      <c r="A182" s="10">
        <v>46018</v>
      </c>
      <c r="B182" s="56" t="s">
        <v>20</v>
      </c>
      <c r="C182" s="57"/>
      <c r="D182" s="74"/>
      <c r="E182" s="74"/>
      <c r="F182" s="20"/>
      <c r="G182" s="26"/>
      <c r="H182" s="8"/>
      <c r="I182" s="8"/>
      <c r="J182" s="29" t="s">
        <v>81</v>
      </c>
      <c r="K182" s="29" t="s">
        <v>81</v>
      </c>
      <c r="L182" s="29" t="s">
        <v>81</v>
      </c>
    </row>
    <row r="183" spans="1:12" ht="16.25" customHeight="1" x14ac:dyDescent="0.2">
      <c r="A183" s="10">
        <v>46019</v>
      </c>
      <c r="B183" s="56" t="s">
        <v>20</v>
      </c>
      <c r="C183" s="57"/>
      <c r="D183" s="74"/>
      <c r="E183" s="74"/>
      <c r="F183" s="20"/>
      <c r="G183" s="26"/>
      <c r="H183" s="8"/>
      <c r="I183" s="8"/>
      <c r="J183" s="29" t="s">
        <v>81</v>
      </c>
      <c r="K183" s="29" t="s">
        <v>81</v>
      </c>
      <c r="L183" s="29" t="s">
        <v>81</v>
      </c>
    </row>
    <row r="184" spans="1:12" ht="16.25" customHeight="1" x14ac:dyDescent="0.2">
      <c r="A184" s="10">
        <v>46020</v>
      </c>
      <c r="B184" s="56" t="s">
        <v>84</v>
      </c>
      <c r="C184" s="57"/>
      <c r="D184" s="74"/>
      <c r="E184" s="74"/>
      <c r="F184" s="20"/>
      <c r="G184" s="26"/>
      <c r="H184" s="8"/>
      <c r="I184" s="8"/>
      <c r="J184" s="29" t="s">
        <v>81</v>
      </c>
      <c r="K184" s="29" t="s">
        <v>81</v>
      </c>
      <c r="L184" s="29" t="s">
        <v>81</v>
      </c>
    </row>
    <row r="185" spans="1:12" ht="16.25" customHeight="1" x14ac:dyDescent="0.2">
      <c r="A185" s="10">
        <v>46021</v>
      </c>
      <c r="B185" s="56" t="s">
        <v>84</v>
      </c>
      <c r="C185" s="57"/>
      <c r="D185" s="74"/>
      <c r="E185" s="74"/>
      <c r="F185" s="20"/>
      <c r="G185" s="26"/>
      <c r="H185" s="8"/>
      <c r="I185" s="8"/>
      <c r="J185" s="29" t="s">
        <v>81</v>
      </c>
      <c r="K185" s="29" t="s">
        <v>81</v>
      </c>
      <c r="L185" s="29" t="s">
        <v>81</v>
      </c>
    </row>
    <row r="186" spans="1:12" ht="16.25" customHeight="1" x14ac:dyDescent="0.2">
      <c r="A186" s="10">
        <v>46022</v>
      </c>
      <c r="B186" s="56" t="s">
        <v>84</v>
      </c>
      <c r="C186" s="57"/>
      <c r="D186" s="74"/>
      <c r="E186" s="74"/>
      <c r="F186" s="20"/>
      <c r="G186" s="26"/>
      <c r="H186" s="8"/>
      <c r="I186" s="8"/>
      <c r="J186" s="29" t="s">
        <v>81</v>
      </c>
      <c r="K186" s="29" t="s">
        <v>81</v>
      </c>
      <c r="L186" s="29" t="s">
        <v>81</v>
      </c>
    </row>
    <row r="187" spans="1:12" ht="16.25" customHeight="1" x14ac:dyDescent="0.2">
      <c r="A187" s="10">
        <v>46023</v>
      </c>
      <c r="B187" s="56" t="s">
        <v>17</v>
      </c>
      <c r="C187" s="57"/>
      <c r="D187" s="74"/>
      <c r="E187" s="74"/>
      <c r="F187" s="20"/>
      <c r="G187" s="26"/>
      <c r="H187" s="8"/>
      <c r="I187" s="8"/>
      <c r="J187" s="29" t="s">
        <v>81</v>
      </c>
      <c r="K187" s="29" t="s">
        <v>81</v>
      </c>
      <c r="L187" s="29" t="s">
        <v>81</v>
      </c>
    </row>
    <row r="188" spans="1:12" ht="16.25" customHeight="1" x14ac:dyDescent="0.2">
      <c r="A188" s="10">
        <v>46024</v>
      </c>
      <c r="B188" s="56" t="s">
        <v>84</v>
      </c>
      <c r="C188" s="57"/>
      <c r="D188" s="74"/>
      <c r="E188" s="74"/>
      <c r="F188" s="20"/>
      <c r="G188" s="26"/>
      <c r="H188" s="8"/>
      <c r="I188" s="8"/>
      <c r="J188" s="29" t="s">
        <v>81</v>
      </c>
      <c r="K188" s="29" t="s">
        <v>81</v>
      </c>
      <c r="L188" s="29" t="s">
        <v>81</v>
      </c>
    </row>
    <row r="189" spans="1:12" ht="16.25" customHeight="1" x14ac:dyDescent="0.2">
      <c r="A189" s="10">
        <v>46025</v>
      </c>
      <c r="B189" s="56" t="s">
        <v>20</v>
      </c>
      <c r="C189" s="57"/>
      <c r="D189" s="74"/>
      <c r="E189" s="74"/>
      <c r="F189" s="20"/>
      <c r="G189" s="26"/>
      <c r="H189" s="8"/>
      <c r="I189" s="8"/>
      <c r="J189" s="29" t="s">
        <v>81</v>
      </c>
      <c r="K189" s="29" t="s">
        <v>81</v>
      </c>
      <c r="L189" s="29" t="s">
        <v>81</v>
      </c>
    </row>
    <row r="190" spans="1:12" ht="16.25" customHeight="1" x14ac:dyDescent="0.2">
      <c r="A190" s="10">
        <v>46026</v>
      </c>
      <c r="B190" s="56" t="s">
        <v>20</v>
      </c>
      <c r="C190" s="57"/>
      <c r="D190" s="74"/>
      <c r="E190" s="74"/>
      <c r="F190" s="20"/>
      <c r="G190" s="26"/>
      <c r="H190" s="8"/>
      <c r="I190" s="8"/>
      <c r="J190" s="29" t="s">
        <v>81</v>
      </c>
      <c r="K190" s="29" t="s">
        <v>81</v>
      </c>
      <c r="L190" s="29" t="s">
        <v>81</v>
      </c>
    </row>
    <row r="191" spans="1:12" ht="16.25" customHeight="1" x14ac:dyDescent="0.2">
      <c r="A191" s="10">
        <v>46027</v>
      </c>
      <c r="B191" s="56" t="s">
        <v>84</v>
      </c>
      <c r="C191" s="57"/>
      <c r="D191" s="74"/>
      <c r="E191" s="74"/>
      <c r="F191" s="20"/>
      <c r="G191" s="26"/>
      <c r="H191" s="8"/>
      <c r="I191" s="8"/>
      <c r="J191" s="29" t="s">
        <v>81</v>
      </c>
      <c r="K191" s="29" t="s">
        <v>81</v>
      </c>
      <c r="L191" s="29" t="s">
        <v>81</v>
      </c>
    </row>
    <row r="192" spans="1:12" ht="16.25" customHeight="1" x14ac:dyDescent="0.2">
      <c r="A192" s="10">
        <v>46028</v>
      </c>
      <c r="B192" s="56" t="s">
        <v>84</v>
      </c>
      <c r="C192" s="57"/>
      <c r="D192" s="74"/>
      <c r="E192" s="74"/>
      <c r="F192" s="20"/>
      <c r="G192" s="26"/>
      <c r="H192" s="8"/>
      <c r="I192" s="8"/>
      <c r="J192" s="29" t="s">
        <v>81</v>
      </c>
      <c r="K192" s="29" t="s">
        <v>81</v>
      </c>
      <c r="L192" s="29" t="s">
        <v>81</v>
      </c>
    </row>
    <row r="193" spans="1:12" ht="16.25" customHeight="1" x14ac:dyDescent="0.2">
      <c r="A193" s="17">
        <v>46029</v>
      </c>
      <c r="B193" s="64" t="s">
        <v>85</v>
      </c>
      <c r="C193" s="65"/>
      <c r="D193" s="79"/>
      <c r="E193" s="79"/>
      <c r="F193" s="22"/>
      <c r="G193" s="28"/>
      <c r="H193" s="19"/>
      <c r="I193" s="19"/>
      <c r="J193" s="32" t="s">
        <v>81</v>
      </c>
      <c r="K193" s="32" t="s">
        <v>81</v>
      </c>
      <c r="L193" s="32" t="s">
        <v>81</v>
      </c>
    </row>
    <row r="194" spans="1:12" ht="16.25" customHeight="1" x14ac:dyDescent="0.2">
      <c r="A194" s="7">
        <v>46030</v>
      </c>
      <c r="B194" s="61">
        <v>3</v>
      </c>
      <c r="C194" s="60"/>
      <c r="D194" s="76"/>
      <c r="E194" s="76"/>
      <c r="F194" s="21"/>
      <c r="G194" s="27">
        <f>1+SUM(G169:G175)</f>
        <v>19</v>
      </c>
      <c r="H194" s="5"/>
      <c r="I194" s="5"/>
      <c r="J194" s="29" t="s">
        <v>81</v>
      </c>
      <c r="K194" s="29" t="s">
        <v>81</v>
      </c>
      <c r="L194" s="29" t="s">
        <v>81</v>
      </c>
    </row>
    <row r="195" spans="1:12" ht="16.25" customHeight="1" x14ac:dyDescent="0.2">
      <c r="A195" s="7">
        <v>46031</v>
      </c>
      <c r="B195" s="61">
        <v>4</v>
      </c>
      <c r="C195" s="60"/>
      <c r="D195" s="76"/>
      <c r="E195" s="76" t="str">
        <f>Table334[[#This Row],[EVENTO 1 PYP]]&amp;" + "&amp;Table334[[#This Row],[EVENTO 2 PYP]]</f>
        <v xml:space="preserve">Grades and Comments on Phidias + </v>
      </c>
      <c r="F195" s="21"/>
      <c r="G195" s="27"/>
      <c r="H195" s="5"/>
      <c r="I195" s="5"/>
      <c r="J195" s="29" t="s">
        <v>81</v>
      </c>
      <c r="K195" s="29" t="s">
        <v>81</v>
      </c>
      <c r="L195" s="29" t="s">
        <v>81</v>
      </c>
    </row>
    <row r="196" spans="1:12" ht="16.25" customHeight="1" x14ac:dyDescent="0.2">
      <c r="A196" s="10">
        <v>46032</v>
      </c>
      <c r="B196" s="56" t="s">
        <v>20</v>
      </c>
      <c r="C196" s="57"/>
      <c r="D196" s="74"/>
      <c r="E196" s="74"/>
      <c r="F196" s="20"/>
      <c r="G196" s="26"/>
      <c r="H196" s="8"/>
      <c r="I196" s="8"/>
      <c r="J196" s="29" t="s">
        <v>81</v>
      </c>
      <c r="K196" s="29" t="s">
        <v>81</v>
      </c>
      <c r="L196" s="29" t="s">
        <v>81</v>
      </c>
    </row>
    <row r="197" spans="1:12" ht="16.25" customHeight="1" x14ac:dyDescent="0.2">
      <c r="A197" s="10">
        <v>46033</v>
      </c>
      <c r="B197" s="56" t="s">
        <v>20</v>
      </c>
      <c r="C197" s="57"/>
      <c r="D197" s="74"/>
      <c r="E197" s="74"/>
      <c r="F197" s="20"/>
      <c r="G197" s="26"/>
      <c r="H197" s="8"/>
      <c r="I197" s="8"/>
      <c r="J197" s="29" t="s">
        <v>81</v>
      </c>
      <c r="K197" s="29" t="s">
        <v>81</v>
      </c>
      <c r="L197" s="29" t="s">
        <v>81</v>
      </c>
    </row>
    <row r="198" spans="1:12" ht="16.25" customHeight="1" x14ac:dyDescent="0.2">
      <c r="A198" s="10">
        <v>46034</v>
      </c>
      <c r="B198" s="56" t="s">
        <v>17</v>
      </c>
      <c r="C198" s="57"/>
      <c r="D198" s="74"/>
      <c r="E198" s="74"/>
      <c r="F198" s="20"/>
      <c r="G198" s="26"/>
      <c r="H198" s="8"/>
      <c r="I198" s="8"/>
      <c r="J198" s="29" t="s">
        <v>81</v>
      </c>
      <c r="K198" s="29" t="s">
        <v>81</v>
      </c>
      <c r="L198" s="29" t="s">
        <v>81</v>
      </c>
    </row>
    <row r="199" spans="1:12" ht="16.25" customHeight="1" x14ac:dyDescent="0.2">
      <c r="A199" s="7">
        <v>46035</v>
      </c>
      <c r="B199" s="61">
        <v>5</v>
      </c>
      <c r="C199" s="60"/>
      <c r="D199" s="76"/>
      <c r="E199" s="76"/>
      <c r="F199" s="21"/>
      <c r="G199" s="27">
        <f>1+SUM(G190:G196)</f>
        <v>20</v>
      </c>
      <c r="H199" s="5"/>
      <c r="I199" s="5"/>
      <c r="J199" s="29" t="s">
        <v>65</v>
      </c>
      <c r="K199" s="29" t="s">
        <v>87</v>
      </c>
      <c r="L199" s="29" t="s">
        <v>81</v>
      </c>
    </row>
    <row r="200" spans="1:12" ht="16.25" customHeight="1" x14ac:dyDescent="0.2">
      <c r="A200" s="7">
        <v>46036</v>
      </c>
      <c r="B200" s="61">
        <v>6</v>
      </c>
      <c r="C200" s="60"/>
      <c r="D200" s="76"/>
      <c r="E200" s="76"/>
      <c r="F200" s="21">
        <v>13</v>
      </c>
      <c r="G200" s="27"/>
      <c r="H200" s="5"/>
      <c r="I200" s="5"/>
      <c r="J200" s="29" t="s">
        <v>88</v>
      </c>
      <c r="K200" s="29"/>
      <c r="L200" s="29"/>
    </row>
    <row r="201" spans="1:12" ht="16.25" customHeight="1" x14ac:dyDescent="0.2">
      <c r="A201" s="7">
        <v>46037</v>
      </c>
      <c r="B201" s="61">
        <v>1</v>
      </c>
      <c r="C201" s="60"/>
      <c r="D201" s="76" t="s">
        <v>165</v>
      </c>
      <c r="E201" s="76"/>
      <c r="F201" s="21"/>
      <c r="G201" s="27"/>
      <c r="H201" s="5"/>
      <c r="I201" s="5"/>
      <c r="J201" s="29"/>
      <c r="K201" s="29"/>
      <c r="L201" s="29"/>
    </row>
    <row r="202" spans="1:12" ht="16.25" customHeight="1" x14ac:dyDescent="0.2">
      <c r="A202" s="46">
        <v>46038</v>
      </c>
      <c r="B202" s="66" t="s">
        <v>51</v>
      </c>
      <c r="C202" s="67" t="s">
        <v>89</v>
      </c>
      <c r="D202" s="80" t="s">
        <v>166</v>
      </c>
      <c r="E202" s="80"/>
      <c r="F202" s="48"/>
      <c r="G202" s="49"/>
      <c r="H202" s="50"/>
      <c r="I202" s="50"/>
      <c r="J202" s="51"/>
      <c r="K202" s="51"/>
      <c r="L202" s="51"/>
    </row>
    <row r="203" spans="1:12" ht="16.25" customHeight="1" x14ac:dyDescent="0.2">
      <c r="A203" s="10">
        <v>46039</v>
      </c>
      <c r="B203" s="56" t="s">
        <v>20</v>
      </c>
      <c r="C203" s="57"/>
      <c r="D203" s="74"/>
      <c r="E203" s="74"/>
      <c r="F203" s="20"/>
      <c r="G203" s="26"/>
      <c r="H203" s="8"/>
      <c r="I203" s="8"/>
      <c r="J203" s="29"/>
      <c r="K203" s="29"/>
      <c r="L203" s="29"/>
    </row>
    <row r="204" spans="1:12" ht="16.25" customHeight="1" x14ac:dyDescent="0.2">
      <c r="A204" s="10">
        <v>46040</v>
      </c>
      <c r="B204" s="56" t="s">
        <v>20</v>
      </c>
      <c r="C204" s="57"/>
      <c r="D204" s="74"/>
      <c r="E204" s="74"/>
      <c r="F204" s="20"/>
      <c r="G204" s="26"/>
      <c r="H204" s="8"/>
      <c r="I204" s="8"/>
      <c r="J204" s="29"/>
      <c r="K204" s="29"/>
      <c r="L204" s="29"/>
    </row>
    <row r="205" spans="1:12" ht="16.25" customHeight="1" x14ac:dyDescent="0.2">
      <c r="A205" s="7">
        <v>46041</v>
      </c>
      <c r="B205" s="61">
        <v>2</v>
      </c>
      <c r="C205" s="60"/>
      <c r="D205" s="76" t="s">
        <v>167</v>
      </c>
      <c r="E205" s="76"/>
      <c r="F205" s="21"/>
      <c r="G205" s="27">
        <f>1+SUM(G196:G202)</f>
        <v>21</v>
      </c>
      <c r="H205" s="5"/>
      <c r="I205" s="5"/>
      <c r="J205" s="29"/>
      <c r="K205" s="29"/>
      <c r="L205" s="29"/>
    </row>
    <row r="206" spans="1:12" ht="16.25" customHeight="1" x14ac:dyDescent="0.2">
      <c r="A206" s="7">
        <v>46042</v>
      </c>
      <c r="B206" s="61">
        <v>3</v>
      </c>
      <c r="C206" s="60"/>
      <c r="D206" s="76" t="s">
        <v>167</v>
      </c>
      <c r="E206" s="76"/>
      <c r="F206" s="21"/>
      <c r="G206" s="27"/>
      <c r="H206" s="5"/>
      <c r="I206" s="5"/>
      <c r="J206" s="29"/>
      <c r="K206" s="29"/>
      <c r="L206" s="29"/>
    </row>
    <row r="207" spans="1:12" ht="16.25" customHeight="1" x14ac:dyDescent="0.2">
      <c r="A207" s="7">
        <v>46043</v>
      </c>
      <c r="B207" s="61">
        <v>4</v>
      </c>
      <c r="C207" s="60"/>
      <c r="D207" s="76" t="s">
        <v>167</v>
      </c>
      <c r="E207" s="76"/>
      <c r="F207" s="21"/>
      <c r="G207" s="27"/>
      <c r="H207" s="5"/>
      <c r="I207" s="5"/>
      <c r="J207" s="29"/>
      <c r="K207" s="29"/>
      <c r="L207" s="29"/>
    </row>
    <row r="208" spans="1:12" ht="16.25" customHeight="1" x14ac:dyDescent="0.2">
      <c r="A208" s="7">
        <v>46044</v>
      </c>
      <c r="B208" s="61">
        <v>5</v>
      </c>
      <c r="C208" s="60"/>
      <c r="D208" s="76" t="s">
        <v>168</v>
      </c>
      <c r="E208" s="76"/>
      <c r="F208" s="21"/>
      <c r="G208" s="27"/>
      <c r="H208" s="5"/>
      <c r="I208" s="5"/>
      <c r="J208" s="29"/>
      <c r="K208" s="29"/>
      <c r="L208" s="29"/>
    </row>
    <row r="209" spans="1:12" ht="16.25" customHeight="1" x14ac:dyDescent="0.2">
      <c r="A209" s="7">
        <v>46045</v>
      </c>
      <c r="B209" s="61">
        <v>6</v>
      </c>
      <c r="C209" s="60"/>
      <c r="D209" s="76" t="s">
        <v>169</v>
      </c>
      <c r="E209" s="76"/>
      <c r="F209" s="21">
        <v>14</v>
      </c>
      <c r="G209" s="27"/>
      <c r="H209" s="5"/>
      <c r="I209" s="5"/>
      <c r="J209" s="29"/>
      <c r="K209" s="29"/>
      <c r="L209" s="29"/>
    </row>
    <row r="210" spans="1:12" ht="16.25" customHeight="1" x14ac:dyDescent="0.2">
      <c r="A210" s="10">
        <v>46046</v>
      </c>
      <c r="B210" s="56" t="s">
        <v>20</v>
      </c>
      <c r="C210" s="57"/>
      <c r="D210" s="74"/>
      <c r="E210" s="74"/>
      <c r="F210" s="20"/>
      <c r="G210" s="26"/>
      <c r="H210" s="8"/>
      <c r="I210" s="8"/>
      <c r="J210" s="29"/>
      <c r="K210" s="29"/>
      <c r="L210" s="29"/>
    </row>
    <row r="211" spans="1:12" ht="16.25" customHeight="1" x14ac:dyDescent="0.2">
      <c r="A211" s="10">
        <v>46047</v>
      </c>
      <c r="B211" s="56" t="s">
        <v>20</v>
      </c>
      <c r="C211" s="57"/>
      <c r="D211" s="74"/>
      <c r="E211" s="74"/>
      <c r="F211" s="20"/>
      <c r="G211" s="26"/>
      <c r="H211" s="8"/>
      <c r="I211" s="8"/>
      <c r="J211" s="29"/>
      <c r="K211" s="29"/>
      <c r="L211" s="29"/>
    </row>
    <row r="212" spans="1:12" ht="16.25" customHeight="1" x14ac:dyDescent="0.2">
      <c r="A212" s="7">
        <v>46048</v>
      </c>
      <c r="B212" s="61">
        <v>1</v>
      </c>
      <c r="C212" s="60"/>
      <c r="D212" s="76"/>
      <c r="E212" s="76"/>
      <c r="F212" s="21"/>
      <c r="G212" s="27">
        <f>1+SUM(G203:G209)</f>
        <v>22</v>
      </c>
      <c r="H212" s="5"/>
      <c r="I212" s="5"/>
      <c r="J212" s="29"/>
      <c r="K212" s="29"/>
      <c r="L212" s="29"/>
    </row>
    <row r="213" spans="1:12" ht="16.25" customHeight="1" x14ac:dyDescent="0.2">
      <c r="A213" s="7">
        <v>46049</v>
      </c>
      <c r="B213" s="61">
        <v>2</v>
      </c>
      <c r="C213" s="60"/>
      <c r="D213" s="76"/>
      <c r="E213" s="76"/>
      <c r="F213" s="21"/>
      <c r="G213" s="27"/>
      <c r="H213" s="5"/>
      <c r="I213" s="5"/>
      <c r="J213" s="29"/>
      <c r="K213" s="29"/>
      <c r="L213" s="29"/>
    </row>
    <row r="214" spans="1:12" ht="16.25" customHeight="1" x14ac:dyDescent="0.2">
      <c r="A214" s="7">
        <v>46050</v>
      </c>
      <c r="B214" s="61">
        <v>3</v>
      </c>
      <c r="C214" s="60"/>
      <c r="D214" s="76"/>
      <c r="E214" s="76"/>
      <c r="F214" s="21"/>
      <c r="G214" s="27"/>
      <c r="H214" s="5"/>
      <c r="I214" s="5"/>
      <c r="J214" s="29"/>
      <c r="K214" s="29"/>
      <c r="L214" s="29"/>
    </row>
    <row r="215" spans="1:12" ht="16.25" customHeight="1" x14ac:dyDescent="0.2">
      <c r="A215" s="7">
        <v>46051</v>
      </c>
      <c r="B215" s="61">
        <v>4</v>
      </c>
      <c r="C215" s="60"/>
      <c r="D215" s="76"/>
      <c r="E215" s="76"/>
      <c r="F215" s="21"/>
      <c r="G215" s="27"/>
      <c r="H215" s="5"/>
      <c r="I215" s="5"/>
      <c r="J215" s="29"/>
      <c r="K215" s="29"/>
      <c r="L215" s="29"/>
    </row>
    <row r="216" spans="1:12" ht="16.25" customHeight="1" x14ac:dyDescent="0.2">
      <c r="A216" s="7">
        <v>46052</v>
      </c>
      <c r="B216" s="61">
        <v>5</v>
      </c>
      <c r="C216" s="60"/>
      <c r="D216" s="76"/>
      <c r="E216" s="76"/>
      <c r="F216" s="21"/>
      <c r="G216" s="27"/>
      <c r="H216" s="5"/>
      <c r="I216" s="5"/>
      <c r="J216" s="29"/>
      <c r="K216" s="29"/>
      <c r="L216" s="29"/>
    </row>
    <row r="217" spans="1:12" ht="16.25" customHeight="1" x14ac:dyDescent="0.2">
      <c r="A217" s="10">
        <v>46053</v>
      </c>
      <c r="B217" s="56" t="s">
        <v>20</v>
      </c>
      <c r="C217" s="57"/>
      <c r="D217" s="74"/>
      <c r="E217" s="74"/>
      <c r="F217" s="20"/>
      <c r="G217" s="26"/>
      <c r="H217" s="8"/>
      <c r="I217" s="8"/>
      <c r="J217" s="29"/>
      <c r="K217" s="29"/>
      <c r="L217" s="29"/>
    </row>
    <row r="218" spans="1:12" ht="16.25" customHeight="1" x14ac:dyDescent="0.2">
      <c r="A218" s="10">
        <v>46054</v>
      </c>
      <c r="B218" s="56" t="s">
        <v>20</v>
      </c>
      <c r="C218" s="57"/>
      <c r="D218" s="74"/>
      <c r="E218" s="74"/>
      <c r="F218" s="20"/>
      <c r="G218" s="26"/>
      <c r="H218" s="8"/>
      <c r="I218" s="8"/>
      <c r="J218" s="29"/>
      <c r="K218" s="29"/>
      <c r="L218" s="29"/>
    </row>
    <row r="219" spans="1:12" ht="16.25" customHeight="1" x14ac:dyDescent="0.2">
      <c r="A219" s="7">
        <v>46055</v>
      </c>
      <c r="B219" s="61">
        <v>6</v>
      </c>
      <c r="C219" s="60"/>
      <c r="D219" s="76"/>
      <c r="E219" s="76"/>
      <c r="F219" s="21">
        <v>15</v>
      </c>
      <c r="G219" s="27">
        <f>1+SUM(G210:G216)</f>
        <v>23</v>
      </c>
      <c r="H219" s="5"/>
      <c r="I219" s="5"/>
      <c r="J219" s="29"/>
      <c r="K219" s="29"/>
      <c r="L219" s="29"/>
    </row>
    <row r="220" spans="1:12" ht="16.25" customHeight="1" x14ac:dyDescent="0.2">
      <c r="A220" s="7">
        <v>46056</v>
      </c>
      <c r="B220" s="61">
        <v>1</v>
      </c>
      <c r="C220" s="60"/>
      <c r="D220" s="76"/>
      <c r="E220" s="76"/>
      <c r="F220" s="21"/>
      <c r="G220" s="27"/>
      <c r="H220" s="5"/>
      <c r="I220" s="5"/>
      <c r="J220" s="29"/>
      <c r="K220" s="29"/>
      <c r="L220" s="29"/>
    </row>
    <row r="221" spans="1:12" ht="16.25" customHeight="1" x14ac:dyDescent="0.2">
      <c r="A221" s="7">
        <v>46057</v>
      </c>
      <c r="B221" s="61">
        <v>2</v>
      </c>
      <c r="C221" s="60"/>
      <c r="D221" s="76" t="s">
        <v>170</v>
      </c>
      <c r="E221" s="76"/>
      <c r="F221" s="21"/>
      <c r="G221" s="27"/>
      <c r="H221" s="5"/>
      <c r="I221" s="5"/>
      <c r="J221" s="29"/>
      <c r="K221" s="29"/>
      <c r="L221" s="29"/>
    </row>
    <row r="222" spans="1:12" ht="16.25" customHeight="1" x14ac:dyDescent="0.2">
      <c r="A222" s="7">
        <v>46058</v>
      </c>
      <c r="B222" s="61">
        <v>3</v>
      </c>
      <c r="C222" s="60"/>
      <c r="D222" s="76"/>
      <c r="E222" s="76"/>
      <c r="F222" s="21"/>
      <c r="G222" s="27"/>
      <c r="H222" s="5"/>
      <c r="I222" s="5"/>
      <c r="J222" s="29"/>
      <c r="K222" s="29"/>
      <c r="L222" s="29"/>
    </row>
    <row r="223" spans="1:12" ht="16.25" customHeight="1" x14ac:dyDescent="0.2">
      <c r="A223" s="7">
        <v>46059</v>
      </c>
      <c r="B223" s="61">
        <v>4</v>
      </c>
      <c r="C223" s="60"/>
      <c r="D223" s="76"/>
      <c r="E223" s="76"/>
      <c r="F223" s="21"/>
      <c r="G223" s="27"/>
      <c r="H223" s="5"/>
      <c r="I223" s="5"/>
      <c r="J223" s="29"/>
      <c r="K223" s="29"/>
      <c r="L223" s="29"/>
    </row>
    <row r="224" spans="1:12" ht="16.25" customHeight="1" x14ac:dyDescent="0.2">
      <c r="A224" s="10">
        <v>46060</v>
      </c>
      <c r="B224" s="56" t="s">
        <v>20</v>
      </c>
      <c r="C224" s="57"/>
      <c r="D224" s="74"/>
      <c r="E224" s="74"/>
      <c r="F224" s="20"/>
      <c r="G224" s="26"/>
      <c r="H224" s="8"/>
      <c r="I224" s="8"/>
      <c r="J224" s="29"/>
      <c r="K224" s="29"/>
      <c r="L224" s="29"/>
    </row>
    <row r="225" spans="1:12" ht="16.25" customHeight="1" x14ac:dyDescent="0.2">
      <c r="A225" s="10">
        <v>46061</v>
      </c>
      <c r="B225" s="56" t="s">
        <v>20</v>
      </c>
      <c r="C225" s="57"/>
      <c r="D225" s="74"/>
      <c r="E225" s="74"/>
      <c r="F225" s="20"/>
      <c r="G225" s="26"/>
      <c r="H225" s="8"/>
      <c r="I225" s="8"/>
      <c r="J225" s="29"/>
      <c r="K225" s="29"/>
      <c r="L225" s="29"/>
    </row>
    <row r="226" spans="1:12" ht="16.25" customHeight="1" x14ac:dyDescent="0.2">
      <c r="A226" s="7">
        <v>46062</v>
      </c>
      <c r="B226" s="61">
        <v>5</v>
      </c>
      <c r="C226" s="60"/>
      <c r="D226" s="76"/>
      <c r="E226" s="76"/>
      <c r="F226" s="21"/>
      <c r="G226" s="27">
        <f>1+SUM(G217:G223)</f>
        <v>24</v>
      </c>
      <c r="H226" s="5"/>
      <c r="I226" s="5"/>
      <c r="J226" s="29"/>
      <c r="K226" s="29"/>
      <c r="L226" s="29"/>
    </row>
    <row r="227" spans="1:12" ht="16.25" customHeight="1" x14ac:dyDescent="0.2">
      <c r="A227" s="7">
        <v>46063</v>
      </c>
      <c r="B227" s="61">
        <v>6</v>
      </c>
      <c r="C227" s="60"/>
      <c r="D227" s="76"/>
      <c r="E227" s="76"/>
      <c r="F227" s="21">
        <v>16</v>
      </c>
      <c r="G227" s="27"/>
      <c r="H227" s="5"/>
      <c r="I227" s="5"/>
      <c r="J227" s="29"/>
      <c r="K227" s="29"/>
      <c r="L227" s="29"/>
    </row>
    <row r="228" spans="1:12" ht="16.25" customHeight="1" x14ac:dyDescent="0.2">
      <c r="A228" s="7">
        <v>46064</v>
      </c>
      <c r="B228" s="61">
        <v>1</v>
      </c>
      <c r="C228" s="60"/>
      <c r="D228" s="76"/>
      <c r="E228" s="76"/>
      <c r="F228" s="21"/>
      <c r="G228" s="27"/>
      <c r="H228" s="5"/>
      <c r="I228" s="5"/>
      <c r="J228" s="29"/>
      <c r="K228" s="29"/>
      <c r="L228" s="29"/>
    </row>
    <row r="229" spans="1:12" ht="16.25" customHeight="1" x14ac:dyDescent="0.2">
      <c r="A229" s="7">
        <v>46065</v>
      </c>
      <c r="B229" s="61">
        <v>2</v>
      </c>
      <c r="C229" s="60"/>
      <c r="D229" s="87" t="s">
        <v>171</v>
      </c>
      <c r="E229" s="76"/>
      <c r="F229" s="21"/>
      <c r="G229" s="27"/>
      <c r="H229" s="5"/>
      <c r="I229" s="5"/>
      <c r="J229" s="29"/>
      <c r="K229" s="29"/>
      <c r="L229" s="29"/>
    </row>
    <row r="230" spans="1:12" ht="16.25" customHeight="1" x14ac:dyDescent="0.2">
      <c r="A230" s="7">
        <v>46066</v>
      </c>
      <c r="B230" s="61">
        <v>3</v>
      </c>
      <c r="C230" s="60"/>
      <c r="D230" s="76" t="s">
        <v>172</v>
      </c>
      <c r="E230" s="76"/>
      <c r="F230" s="21"/>
      <c r="G230" s="27"/>
      <c r="H230" s="5"/>
      <c r="I230" s="5"/>
      <c r="J230" s="29"/>
      <c r="K230" s="29"/>
      <c r="L230" s="29"/>
    </row>
    <row r="231" spans="1:12" ht="16.25" customHeight="1" x14ac:dyDescent="0.2">
      <c r="A231" s="10">
        <v>46067</v>
      </c>
      <c r="B231" s="56" t="s">
        <v>20</v>
      </c>
      <c r="C231" s="57"/>
      <c r="D231" s="74"/>
      <c r="E231" s="74"/>
      <c r="F231" s="20"/>
      <c r="G231" s="26"/>
      <c r="H231" s="8"/>
      <c r="I231" s="8"/>
      <c r="J231" s="29"/>
      <c r="K231" s="29"/>
      <c r="L231" s="29"/>
    </row>
    <row r="232" spans="1:12" ht="16.25" customHeight="1" x14ac:dyDescent="0.2">
      <c r="A232" s="10">
        <v>46068</v>
      </c>
      <c r="B232" s="56" t="s">
        <v>20</v>
      </c>
      <c r="C232" s="57"/>
      <c r="D232" s="74"/>
      <c r="E232" s="74"/>
      <c r="F232" s="20"/>
      <c r="G232" s="26"/>
      <c r="H232" s="8"/>
      <c r="I232" s="8"/>
      <c r="J232" s="29"/>
      <c r="K232" s="29"/>
      <c r="L232" s="29"/>
    </row>
    <row r="233" spans="1:12" ht="16.25" customHeight="1" x14ac:dyDescent="0.2">
      <c r="A233" s="7">
        <v>46069</v>
      </c>
      <c r="B233" s="61">
        <v>4</v>
      </c>
      <c r="C233" s="60"/>
      <c r="D233" s="76" t="s">
        <v>158</v>
      </c>
      <c r="E233" s="76"/>
      <c r="F233" s="21"/>
      <c r="G233" s="27">
        <f>1+SUM(G224:G230)</f>
        <v>25</v>
      </c>
      <c r="H233" s="5"/>
      <c r="I233" s="5"/>
      <c r="J233" s="29"/>
      <c r="K233" s="29"/>
      <c r="L233" s="29"/>
    </row>
    <row r="234" spans="1:12" ht="16.25" customHeight="1" x14ac:dyDescent="0.2">
      <c r="A234" s="7">
        <v>46070</v>
      </c>
      <c r="B234" s="61">
        <v>5</v>
      </c>
      <c r="C234" s="60"/>
      <c r="D234" s="76"/>
      <c r="E234" s="76"/>
      <c r="F234" s="21"/>
      <c r="G234" s="27"/>
      <c r="H234" s="5"/>
      <c r="I234" s="5"/>
      <c r="J234" s="29"/>
      <c r="K234" s="29"/>
      <c r="L234" s="29"/>
    </row>
    <row r="235" spans="1:12" ht="16.25" customHeight="1" x14ac:dyDescent="0.2">
      <c r="A235" s="7">
        <v>46071</v>
      </c>
      <c r="B235" s="61">
        <v>6</v>
      </c>
      <c r="C235" s="60"/>
      <c r="D235" s="76" t="s">
        <v>173</v>
      </c>
      <c r="E235" s="76"/>
      <c r="F235" s="21">
        <v>17</v>
      </c>
      <c r="G235" s="27"/>
      <c r="H235" s="5"/>
      <c r="I235" s="5"/>
      <c r="J235" s="29"/>
      <c r="K235" s="29"/>
      <c r="L235" s="29"/>
    </row>
    <row r="236" spans="1:12" ht="16.25" customHeight="1" x14ac:dyDescent="0.2">
      <c r="A236" s="7">
        <v>46072</v>
      </c>
      <c r="B236" s="61">
        <v>1</v>
      </c>
      <c r="C236" s="60"/>
      <c r="D236" s="76" t="s">
        <v>174</v>
      </c>
      <c r="E236" s="76"/>
      <c r="F236" s="21"/>
      <c r="G236" s="27"/>
      <c r="H236" s="5"/>
      <c r="I236" s="5"/>
      <c r="J236" s="29"/>
      <c r="K236" s="29"/>
      <c r="L236" s="29"/>
    </row>
    <row r="237" spans="1:12" ht="16.25" customHeight="1" x14ac:dyDescent="0.2">
      <c r="A237" s="7">
        <v>46073</v>
      </c>
      <c r="B237" s="61">
        <v>2</v>
      </c>
      <c r="C237" s="60"/>
      <c r="D237" s="76" t="s">
        <v>174</v>
      </c>
      <c r="E237" s="76"/>
      <c r="F237" s="21"/>
      <c r="G237" s="27"/>
      <c r="H237" s="5"/>
      <c r="I237" s="5"/>
      <c r="J237" s="29"/>
      <c r="K237" s="29"/>
      <c r="L237" s="29"/>
    </row>
    <row r="238" spans="1:12" ht="16.25" customHeight="1" x14ac:dyDescent="0.2">
      <c r="A238" s="10">
        <v>46074</v>
      </c>
      <c r="B238" s="56" t="s">
        <v>20</v>
      </c>
      <c r="C238" s="57"/>
      <c r="D238" s="74"/>
      <c r="E238" s="74"/>
      <c r="F238" s="20"/>
      <c r="G238" s="26"/>
      <c r="H238" s="8"/>
      <c r="I238" s="8"/>
      <c r="J238" s="29"/>
      <c r="K238" s="29"/>
      <c r="L238" s="29"/>
    </row>
    <row r="239" spans="1:12" ht="16.25" customHeight="1" x14ac:dyDescent="0.2">
      <c r="A239" s="10">
        <v>46075</v>
      </c>
      <c r="B239" s="56" t="s">
        <v>20</v>
      </c>
      <c r="C239" s="57"/>
      <c r="D239" s="74"/>
      <c r="E239" s="74"/>
      <c r="F239" s="20"/>
      <c r="G239" s="26"/>
      <c r="H239" s="8"/>
      <c r="I239" s="8"/>
      <c r="J239" s="29"/>
      <c r="K239" s="29"/>
      <c r="L239" s="29"/>
    </row>
    <row r="240" spans="1:12" ht="16.25" customHeight="1" x14ac:dyDescent="0.2">
      <c r="A240" s="7">
        <v>46076</v>
      </c>
      <c r="B240" s="61">
        <v>3</v>
      </c>
      <c r="C240" s="60"/>
      <c r="D240" s="76" t="s">
        <v>175</v>
      </c>
      <c r="E240" s="76"/>
      <c r="F240" s="21"/>
      <c r="G240" s="27">
        <f>1+SUM(G231:G237)</f>
        <v>26</v>
      </c>
      <c r="H240" s="5"/>
      <c r="I240" s="5"/>
      <c r="J240" s="29"/>
      <c r="K240" s="29" t="s">
        <v>97</v>
      </c>
      <c r="L240" s="29"/>
    </row>
    <row r="241" spans="1:12" ht="16.25" customHeight="1" x14ac:dyDescent="0.2">
      <c r="A241" s="7">
        <v>46077</v>
      </c>
      <c r="B241" s="61">
        <v>4</v>
      </c>
      <c r="C241" s="60"/>
      <c r="D241" s="76" t="s">
        <v>175</v>
      </c>
      <c r="E241" s="76"/>
      <c r="F241" s="21"/>
      <c r="G241" s="27"/>
      <c r="H241" s="5"/>
      <c r="I241" s="5"/>
      <c r="J241" s="29"/>
      <c r="K241" s="29"/>
      <c r="L241" s="29"/>
    </row>
    <row r="242" spans="1:12" ht="16.25" customHeight="1" x14ac:dyDescent="0.2">
      <c r="A242" s="7">
        <v>46078</v>
      </c>
      <c r="B242" s="61">
        <v>5</v>
      </c>
      <c r="C242" s="60"/>
      <c r="D242" s="76" t="s">
        <v>175</v>
      </c>
      <c r="E242" s="76"/>
      <c r="F242" s="21"/>
      <c r="G242" s="27"/>
      <c r="H242" s="5"/>
      <c r="I242" s="5"/>
      <c r="J242" s="29"/>
      <c r="K242" s="29"/>
      <c r="L242" s="29"/>
    </row>
    <row r="243" spans="1:12" ht="16.25" customHeight="1" x14ac:dyDescent="0.2">
      <c r="A243" s="7">
        <v>46079</v>
      </c>
      <c r="B243" s="61">
        <v>6</v>
      </c>
      <c r="C243" s="60"/>
      <c r="D243" s="76" t="s">
        <v>176</v>
      </c>
      <c r="E243" s="76"/>
      <c r="F243" s="21">
        <v>18</v>
      </c>
      <c r="G243" s="27"/>
      <c r="H243" s="5"/>
      <c r="I243" s="5"/>
      <c r="J243" s="29"/>
      <c r="K243" s="29"/>
      <c r="L243" s="29"/>
    </row>
    <row r="244" spans="1:12" ht="16.25" customHeight="1" x14ac:dyDescent="0.2">
      <c r="A244" s="7">
        <v>46080</v>
      </c>
      <c r="B244" s="61">
        <v>1</v>
      </c>
      <c r="C244" s="60"/>
      <c r="D244" s="76"/>
      <c r="E244" s="76"/>
      <c r="F244" s="21"/>
      <c r="G244" s="27"/>
      <c r="H244" s="5"/>
      <c r="I244" s="5"/>
      <c r="J244" s="29"/>
      <c r="K244" s="29"/>
      <c r="L244" s="29"/>
    </row>
    <row r="245" spans="1:12" ht="16.25" customHeight="1" x14ac:dyDescent="0.2">
      <c r="A245" s="10">
        <v>46081</v>
      </c>
      <c r="B245" s="56" t="s">
        <v>20</v>
      </c>
      <c r="C245" s="57"/>
      <c r="D245" s="74"/>
      <c r="E245" s="74"/>
      <c r="F245" s="20"/>
      <c r="G245" s="26"/>
      <c r="H245" s="8"/>
      <c r="I245" s="8"/>
      <c r="J245" s="29"/>
      <c r="K245" s="29"/>
      <c r="L245" s="29"/>
    </row>
    <row r="246" spans="1:12" ht="16.25" customHeight="1" x14ac:dyDescent="0.2">
      <c r="A246" s="10">
        <v>46082</v>
      </c>
      <c r="B246" s="56" t="s">
        <v>20</v>
      </c>
      <c r="C246" s="57"/>
      <c r="D246" s="74"/>
      <c r="E246" s="74"/>
      <c r="F246" s="20"/>
      <c r="G246" s="26"/>
      <c r="H246" s="8"/>
      <c r="I246" s="8"/>
      <c r="J246" s="29"/>
      <c r="K246" s="29"/>
      <c r="L246" s="29"/>
    </row>
    <row r="247" spans="1:12" ht="16.25" customHeight="1" x14ac:dyDescent="0.2">
      <c r="A247" s="7">
        <v>46083</v>
      </c>
      <c r="B247" s="61">
        <v>2</v>
      </c>
      <c r="C247" s="60"/>
      <c r="D247" s="76" t="s">
        <v>177</v>
      </c>
      <c r="E247" s="76"/>
      <c r="F247" s="21"/>
      <c r="G247" s="27">
        <f>1+SUM(G238:G244)</f>
        <v>27</v>
      </c>
      <c r="H247" s="5"/>
      <c r="I247" s="5"/>
      <c r="J247" s="29"/>
      <c r="K247" s="29"/>
      <c r="L247" s="29"/>
    </row>
    <row r="248" spans="1:12" ht="16.25" customHeight="1" x14ac:dyDescent="0.2">
      <c r="A248" s="7">
        <v>46084</v>
      </c>
      <c r="B248" s="61">
        <v>3</v>
      </c>
      <c r="C248" s="60"/>
      <c r="D248" s="76" t="s">
        <v>177</v>
      </c>
      <c r="E248" s="76"/>
      <c r="F248" s="21"/>
      <c r="G248" s="27"/>
      <c r="H248" s="5"/>
      <c r="I248" s="5"/>
      <c r="J248" s="29"/>
      <c r="K248" s="29"/>
      <c r="L248" s="29"/>
    </row>
    <row r="249" spans="1:12" ht="16.25" customHeight="1" x14ac:dyDescent="0.2">
      <c r="A249" s="7">
        <v>46085</v>
      </c>
      <c r="B249" s="61">
        <v>4</v>
      </c>
      <c r="C249" s="60"/>
      <c r="D249" s="76" t="s">
        <v>177</v>
      </c>
      <c r="E249" s="76"/>
      <c r="F249" s="21"/>
      <c r="G249" s="27"/>
      <c r="H249" s="5"/>
      <c r="I249" s="5"/>
      <c r="J249" s="29"/>
      <c r="K249" s="29"/>
      <c r="L249" s="29"/>
    </row>
    <row r="250" spans="1:12" ht="16.25" customHeight="1" x14ac:dyDescent="0.2">
      <c r="A250" s="7">
        <v>46086</v>
      </c>
      <c r="B250" s="61">
        <v>5</v>
      </c>
      <c r="C250" s="60"/>
      <c r="D250" s="76" t="s">
        <v>177</v>
      </c>
      <c r="E250" s="76"/>
      <c r="F250" s="21"/>
      <c r="G250" s="27"/>
      <c r="H250" s="5"/>
      <c r="I250" s="5"/>
      <c r="J250" s="29"/>
      <c r="K250" s="29"/>
      <c r="L250" s="29"/>
    </row>
    <row r="251" spans="1:12" ht="16.25" customHeight="1" x14ac:dyDescent="0.2">
      <c r="A251" s="7">
        <v>46087</v>
      </c>
      <c r="B251" s="61">
        <v>6</v>
      </c>
      <c r="C251" s="60"/>
      <c r="D251" s="76" t="s">
        <v>178</v>
      </c>
      <c r="E251" s="76"/>
      <c r="F251" s="21">
        <v>19</v>
      </c>
      <c r="G251" s="27"/>
      <c r="H251" s="5"/>
      <c r="I251" s="5"/>
      <c r="J251" s="29"/>
      <c r="K251" s="29"/>
      <c r="L251" s="29"/>
    </row>
    <row r="252" spans="1:12" ht="16.25" customHeight="1" x14ac:dyDescent="0.2">
      <c r="A252" s="10">
        <v>46088</v>
      </c>
      <c r="B252" s="56" t="s">
        <v>20</v>
      </c>
      <c r="C252" s="57"/>
      <c r="D252" s="74"/>
      <c r="E252" s="74"/>
      <c r="F252" s="20"/>
      <c r="G252" s="26"/>
      <c r="H252" s="8"/>
      <c r="I252" s="8"/>
      <c r="J252" s="29"/>
      <c r="K252" s="29"/>
      <c r="L252" s="29"/>
    </row>
    <row r="253" spans="1:12" ht="16.25" customHeight="1" x14ac:dyDescent="0.2">
      <c r="A253" s="10">
        <v>46089</v>
      </c>
      <c r="B253" s="56" t="s">
        <v>20</v>
      </c>
      <c r="C253" s="57"/>
      <c r="D253" s="74"/>
      <c r="E253" s="74"/>
      <c r="F253" s="20"/>
      <c r="G253" s="26"/>
      <c r="H253" s="8"/>
      <c r="I253" s="8"/>
      <c r="J253" s="29"/>
      <c r="K253" s="29"/>
      <c r="L253" s="29"/>
    </row>
    <row r="254" spans="1:12" ht="16.25" customHeight="1" x14ac:dyDescent="0.2">
      <c r="A254" s="7">
        <v>46090</v>
      </c>
      <c r="B254" s="61">
        <v>1</v>
      </c>
      <c r="C254" s="60"/>
      <c r="D254" s="76"/>
      <c r="E254" s="76"/>
      <c r="F254" s="21"/>
      <c r="G254" s="27">
        <f>1+SUM(G245:G251)</f>
        <v>28</v>
      </c>
      <c r="H254" s="5"/>
      <c r="I254" s="5"/>
      <c r="J254" s="29" t="s">
        <v>65</v>
      </c>
      <c r="K254" s="29"/>
      <c r="L254" s="29"/>
    </row>
    <row r="255" spans="1:12" ht="16.25" customHeight="1" x14ac:dyDescent="0.2">
      <c r="A255" s="7">
        <v>46091</v>
      </c>
      <c r="B255" s="61">
        <v>2</v>
      </c>
      <c r="C255" s="60"/>
      <c r="D255" s="76"/>
      <c r="E255" s="76"/>
      <c r="F255" s="21"/>
      <c r="G255" s="27"/>
      <c r="H255" s="5"/>
      <c r="I255" s="5"/>
      <c r="J255" s="29"/>
      <c r="K255" s="29"/>
      <c r="L255" s="29"/>
    </row>
    <row r="256" spans="1:12" ht="16.25" customHeight="1" x14ac:dyDescent="0.2">
      <c r="A256" s="7">
        <v>46092</v>
      </c>
      <c r="B256" s="61">
        <v>3</v>
      </c>
      <c r="C256" s="60"/>
      <c r="D256" s="76"/>
      <c r="E256" s="76"/>
      <c r="F256" s="21"/>
      <c r="G256" s="27"/>
      <c r="H256" s="5"/>
      <c r="I256" s="5"/>
      <c r="J256" s="29"/>
      <c r="K256" s="29"/>
      <c r="L256" s="29"/>
    </row>
    <row r="257" spans="1:12" ht="16.25" customHeight="1" x14ac:dyDescent="0.2">
      <c r="A257" s="7">
        <v>46093</v>
      </c>
      <c r="B257" s="61">
        <v>4</v>
      </c>
      <c r="C257" s="60"/>
      <c r="D257" s="76"/>
      <c r="E257" s="76"/>
      <c r="F257" s="21"/>
      <c r="G257" s="27"/>
      <c r="H257" s="5"/>
      <c r="I257" s="5"/>
      <c r="J257" s="29"/>
      <c r="K257" s="29"/>
      <c r="L257" s="29"/>
    </row>
    <row r="258" spans="1:12" ht="16.25" customHeight="1" x14ac:dyDescent="0.2">
      <c r="A258" s="7">
        <v>46094</v>
      </c>
      <c r="B258" s="61">
        <v>5</v>
      </c>
      <c r="C258" s="60"/>
      <c r="D258" s="76"/>
      <c r="E258" s="76"/>
      <c r="F258" s="21"/>
      <c r="G258" s="27"/>
      <c r="H258" s="5"/>
      <c r="I258" s="5"/>
      <c r="J258" s="29"/>
      <c r="K258" s="29"/>
      <c r="L258" s="29"/>
    </row>
    <row r="259" spans="1:12" ht="16.25" customHeight="1" x14ac:dyDescent="0.2">
      <c r="A259" s="10">
        <v>46095</v>
      </c>
      <c r="B259" s="56" t="s">
        <v>20</v>
      </c>
      <c r="C259" s="57"/>
      <c r="D259" s="74"/>
      <c r="E259" s="74"/>
      <c r="F259" s="20"/>
      <c r="G259" s="26"/>
      <c r="H259" s="8"/>
      <c r="I259" s="8"/>
      <c r="J259" s="29"/>
      <c r="K259" s="29"/>
      <c r="L259" s="29"/>
    </row>
    <row r="260" spans="1:12" ht="16.25" customHeight="1" x14ac:dyDescent="0.2">
      <c r="A260" s="10">
        <v>46096</v>
      </c>
      <c r="B260" s="56" t="s">
        <v>20</v>
      </c>
      <c r="C260" s="57"/>
      <c r="D260" s="74"/>
      <c r="E260" s="74"/>
      <c r="F260" s="20"/>
      <c r="G260" s="26"/>
      <c r="H260" s="8"/>
      <c r="I260" s="8"/>
      <c r="J260" s="29"/>
      <c r="K260" s="29"/>
      <c r="L260" s="29"/>
    </row>
    <row r="261" spans="1:12" ht="16.25" customHeight="1" x14ac:dyDescent="0.2">
      <c r="A261" s="7">
        <v>46097</v>
      </c>
      <c r="B261" s="61">
        <v>6</v>
      </c>
      <c r="C261" s="60"/>
      <c r="D261" s="76"/>
      <c r="E261" s="76"/>
      <c r="F261" s="21">
        <v>20</v>
      </c>
      <c r="G261" s="27">
        <f>1+SUM(G252:G258)</f>
        <v>29</v>
      </c>
      <c r="H261" s="5"/>
      <c r="I261" s="5"/>
      <c r="J261" s="29"/>
      <c r="K261" s="29"/>
      <c r="L261" s="29"/>
    </row>
    <row r="262" spans="1:12" ht="16.25" customHeight="1" x14ac:dyDescent="0.2">
      <c r="A262" s="7">
        <v>46098</v>
      </c>
      <c r="B262" s="61">
        <v>1</v>
      </c>
      <c r="C262" s="60"/>
      <c r="D262" s="76"/>
      <c r="E262" s="76"/>
      <c r="F262" s="21"/>
      <c r="G262" s="27"/>
      <c r="H262" s="5"/>
      <c r="I262" s="5"/>
      <c r="J262" s="29"/>
      <c r="K262" s="29"/>
      <c r="L262" s="29"/>
    </row>
    <row r="263" spans="1:12" ht="16.25" customHeight="1" x14ac:dyDescent="0.2">
      <c r="A263" s="7">
        <v>46099</v>
      </c>
      <c r="B263" s="61">
        <v>2</v>
      </c>
      <c r="C263" s="60"/>
      <c r="D263" s="76"/>
      <c r="E263" s="76"/>
      <c r="F263" s="21"/>
      <c r="G263" s="27"/>
      <c r="H263" s="5"/>
      <c r="I263" s="5"/>
      <c r="J263" s="29"/>
      <c r="K263" s="29"/>
      <c r="L263" s="29"/>
    </row>
    <row r="264" spans="1:12" ht="16.25" customHeight="1" x14ac:dyDescent="0.2">
      <c r="A264" s="7">
        <v>46100</v>
      </c>
      <c r="B264" s="61">
        <v>3</v>
      </c>
      <c r="C264" s="60"/>
      <c r="D264" s="76"/>
      <c r="E264" s="76"/>
      <c r="F264" s="21"/>
      <c r="G264" s="27"/>
      <c r="H264" s="5"/>
      <c r="I264" s="5"/>
      <c r="J264" s="29"/>
      <c r="K264" s="29"/>
      <c r="L264" s="29"/>
    </row>
    <row r="265" spans="1:12" ht="16.25" customHeight="1" x14ac:dyDescent="0.2">
      <c r="A265" s="7">
        <v>46101</v>
      </c>
      <c r="B265" s="61">
        <v>4</v>
      </c>
      <c r="C265" s="60"/>
      <c r="D265" s="76"/>
      <c r="E265" s="76"/>
      <c r="F265" s="21"/>
      <c r="G265" s="27"/>
      <c r="H265" s="5"/>
      <c r="I265" s="5"/>
      <c r="J265" s="29"/>
      <c r="K265" s="29"/>
      <c r="L265" s="29"/>
    </row>
    <row r="266" spans="1:12" ht="16.25" customHeight="1" x14ac:dyDescent="0.2">
      <c r="A266" s="10">
        <v>46102</v>
      </c>
      <c r="B266" s="56" t="s">
        <v>20</v>
      </c>
      <c r="C266" s="57"/>
      <c r="D266" s="74"/>
      <c r="E266" s="74"/>
      <c r="F266" s="20"/>
      <c r="G266" s="26"/>
      <c r="H266" s="8"/>
      <c r="I266" s="8"/>
      <c r="J266" s="29"/>
      <c r="K266" s="29" t="s">
        <v>81</v>
      </c>
      <c r="L266" s="29"/>
    </row>
    <row r="267" spans="1:12" ht="16.25" customHeight="1" x14ac:dyDescent="0.2">
      <c r="A267" s="10">
        <v>46103</v>
      </c>
      <c r="B267" s="56" t="s">
        <v>20</v>
      </c>
      <c r="C267" s="57"/>
      <c r="D267" s="74"/>
      <c r="E267" s="74"/>
      <c r="F267" s="20"/>
      <c r="G267" s="26"/>
      <c r="H267" s="8"/>
      <c r="I267" s="8"/>
      <c r="J267" s="29"/>
      <c r="K267" s="29" t="s">
        <v>81</v>
      </c>
      <c r="L267" s="29"/>
    </row>
    <row r="268" spans="1:12" ht="16.25" customHeight="1" x14ac:dyDescent="0.2">
      <c r="A268" s="10">
        <v>46104</v>
      </c>
      <c r="B268" s="56" t="s">
        <v>17</v>
      </c>
      <c r="C268" s="57"/>
      <c r="D268" s="74"/>
      <c r="E268" s="74"/>
      <c r="F268" s="20"/>
      <c r="G268" s="26"/>
      <c r="H268" s="8"/>
      <c r="I268" s="8"/>
      <c r="J268" s="29"/>
      <c r="K268" s="29" t="s">
        <v>81</v>
      </c>
      <c r="L268" s="29"/>
    </row>
    <row r="269" spans="1:12" ht="16.25" customHeight="1" x14ac:dyDescent="0.2">
      <c r="A269" s="7">
        <v>46105</v>
      </c>
      <c r="B269" s="61">
        <v>5</v>
      </c>
      <c r="C269" s="60"/>
      <c r="D269" s="76" t="s">
        <v>179</v>
      </c>
      <c r="E269" s="76"/>
      <c r="F269" s="21"/>
      <c r="G269" s="27">
        <f>1+SUM(G260:G266)</f>
        <v>30</v>
      </c>
      <c r="H269" s="5"/>
      <c r="I269" s="5"/>
      <c r="J269" s="29"/>
      <c r="K269" s="29" t="s">
        <v>81</v>
      </c>
      <c r="L269" s="29"/>
    </row>
    <row r="270" spans="1:12" ht="16.25" customHeight="1" x14ac:dyDescent="0.2">
      <c r="A270" s="7">
        <v>46106</v>
      </c>
      <c r="B270" s="61">
        <v>6</v>
      </c>
      <c r="C270" s="60"/>
      <c r="D270" s="76"/>
      <c r="E270" s="76"/>
      <c r="F270" s="21">
        <v>21</v>
      </c>
      <c r="G270" s="27"/>
      <c r="H270" s="5"/>
      <c r="I270" s="5"/>
      <c r="J270" s="29"/>
      <c r="K270" s="29" t="s">
        <v>81</v>
      </c>
      <c r="L270" s="29"/>
    </row>
    <row r="271" spans="1:12" ht="16.25" customHeight="1" x14ac:dyDescent="0.2">
      <c r="A271" s="37">
        <v>46107</v>
      </c>
      <c r="B271" s="62">
        <v>1</v>
      </c>
      <c r="C271" s="63" t="s">
        <v>102</v>
      </c>
      <c r="D271" s="78"/>
      <c r="E271" s="78"/>
      <c r="F271" s="40"/>
      <c r="G271" s="41"/>
      <c r="H271" s="42"/>
      <c r="I271" s="42"/>
      <c r="J271" s="43"/>
      <c r="K271" s="43" t="s">
        <v>81</v>
      </c>
      <c r="L271" s="43"/>
    </row>
    <row r="272" spans="1:12" ht="16.25" customHeight="1" x14ac:dyDescent="0.2">
      <c r="A272" s="10">
        <v>46108</v>
      </c>
      <c r="B272" s="56" t="s">
        <v>104</v>
      </c>
      <c r="C272" s="57"/>
      <c r="D272" s="74"/>
      <c r="E272" s="74"/>
      <c r="F272" s="20"/>
      <c r="G272" s="26"/>
      <c r="H272" s="8"/>
      <c r="I272" s="8"/>
      <c r="J272" s="29"/>
      <c r="K272" s="29" t="s">
        <v>81</v>
      </c>
      <c r="L272" s="29"/>
    </row>
    <row r="273" spans="1:12" ht="16.25" customHeight="1" x14ac:dyDescent="0.2">
      <c r="A273" s="10">
        <v>46109</v>
      </c>
      <c r="B273" s="56" t="s">
        <v>20</v>
      </c>
      <c r="C273" s="57"/>
      <c r="D273" s="74"/>
      <c r="E273" s="74"/>
      <c r="F273" s="20"/>
      <c r="G273" s="26"/>
      <c r="H273" s="8"/>
      <c r="I273" s="8"/>
      <c r="J273" s="29" t="s">
        <v>81</v>
      </c>
      <c r="K273" s="29" t="s">
        <v>81</v>
      </c>
      <c r="L273" s="29" t="s">
        <v>81</v>
      </c>
    </row>
    <row r="274" spans="1:12" ht="16.25" customHeight="1" x14ac:dyDescent="0.2">
      <c r="A274" s="10">
        <v>46110</v>
      </c>
      <c r="B274" s="56" t="s">
        <v>20</v>
      </c>
      <c r="C274" s="57"/>
      <c r="D274" s="74"/>
      <c r="E274" s="74"/>
      <c r="F274" s="20"/>
      <c r="G274" s="26"/>
      <c r="H274" s="8"/>
      <c r="I274" s="8"/>
      <c r="J274" s="29" t="s">
        <v>81</v>
      </c>
      <c r="K274" s="29" t="s">
        <v>81</v>
      </c>
      <c r="L274" s="29" t="s">
        <v>81</v>
      </c>
    </row>
    <row r="275" spans="1:12" ht="16.25" customHeight="1" x14ac:dyDescent="0.2">
      <c r="A275" s="10">
        <v>46111</v>
      </c>
      <c r="B275" s="56" t="s">
        <v>104</v>
      </c>
      <c r="C275" s="57"/>
      <c r="D275" s="74"/>
      <c r="E275" s="74"/>
      <c r="F275" s="20"/>
      <c r="G275" s="26"/>
      <c r="H275" s="8"/>
      <c r="I275" s="8"/>
      <c r="J275" s="29" t="s">
        <v>81</v>
      </c>
      <c r="K275" s="29" t="s">
        <v>81</v>
      </c>
      <c r="L275" s="29" t="s">
        <v>81</v>
      </c>
    </row>
    <row r="276" spans="1:12" ht="16.25" customHeight="1" x14ac:dyDescent="0.2">
      <c r="A276" s="10">
        <v>46112</v>
      </c>
      <c r="B276" s="56" t="s">
        <v>104</v>
      </c>
      <c r="C276" s="57"/>
      <c r="D276" s="74"/>
      <c r="E276" s="74"/>
      <c r="F276" s="20"/>
      <c r="G276" s="26"/>
      <c r="H276" s="8"/>
      <c r="I276" s="8"/>
      <c r="J276" s="29" t="s">
        <v>81</v>
      </c>
      <c r="K276" s="29" t="s">
        <v>81</v>
      </c>
      <c r="L276" s="29" t="s">
        <v>81</v>
      </c>
    </row>
    <row r="277" spans="1:12" ht="16.25" customHeight="1" x14ac:dyDescent="0.2">
      <c r="A277" s="10">
        <v>46113</v>
      </c>
      <c r="B277" s="56" t="s">
        <v>104</v>
      </c>
      <c r="C277" s="57"/>
      <c r="D277" s="74"/>
      <c r="E277" s="74"/>
      <c r="F277" s="20"/>
      <c r="G277" s="26"/>
      <c r="H277" s="8"/>
      <c r="I277" s="8"/>
      <c r="J277" s="29" t="s">
        <v>81</v>
      </c>
      <c r="K277" s="29" t="s">
        <v>81</v>
      </c>
      <c r="L277" s="29" t="s">
        <v>81</v>
      </c>
    </row>
    <row r="278" spans="1:12" ht="16.25" customHeight="1" x14ac:dyDescent="0.2">
      <c r="A278" s="10">
        <v>46114</v>
      </c>
      <c r="B278" s="56" t="s">
        <v>17</v>
      </c>
      <c r="C278" s="57"/>
      <c r="D278" s="74"/>
      <c r="E278" s="74"/>
      <c r="F278" s="20"/>
      <c r="G278" s="26"/>
      <c r="H278" s="8"/>
      <c r="I278" s="8"/>
      <c r="J278" s="29" t="s">
        <v>81</v>
      </c>
      <c r="K278" s="29" t="s">
        <v>81</v>
      </c>
      <c r="L278" s="29" t="s">
        <v>81</v>
      </c>
    </row>
    <row r="279" spans="1:12" ht="16.25" customHeight="1" x14ac:dyDescent="0.2">
      <c r="A279" s="10">
        <v>46115</v>
      </c>
      <c r="B279" s="56" t="s">
        <v>17</v>
      </c>
      <c r="C279" s="57"/>
      <c r="D279" s="74"/>
      <c r="E279" s="74"/>
      <c r="F279" s="20"/>
      <c r="G279" s="26"/>
      <c r="H279" s="8"/>
      <c r="I279" s="8"/>
      <c r="J279" s="29" t="s">
        <v>81</v>
      </c>
      <c r="K279" s="29" t="s">
        <v>81</v>
      </c>
      <c r="L279" s="29" t="s">
        <v>81</v>
      </c>
    </row>
    <row r="280" spans="1:12" ht="16.25" customHeight="1" x14ac:dyDescent="0.2">
      <c r="A280" s="10">
        <v>46116</v>
      </c>
      <c r="B280" s="56" t="s">
        <v>20</v>
      </c>
      <c r="C280" s="57"/>
      <c r="D280" s="74"/>
      <c r="E280" s="74"/>
      <c r="F280" s="20"/>
      <c r="G280" s="26"/>
      <c r="H280" s="8"/>
      <c r="I280" s="8"/>
      <c r="J280" s="29" t="s">
        <v>81</v>
      </c>
      <c r="K280" s="29" t="s">
        <v>81</v>
      </c>
      <c r="L280" s="29" t="s">
        <v>81</v>
      </c>
    </row>
    <row r="281" spans="1:12" ht="16.25" customHeight="1" x14ac:dyDescent="0.2">
      <c r="A281" s="10">
        <v>46117</v>
      </c>
      <c r="B281" s="56" t="s">
        <v>20</v>
      </c>
      <c r="C281" s="57"/>
      <c r="D281" s="74"/>
      <c r="E281" s="74"/>
      <c r="F281" s="20"/>
      <c r="G281" s="26"/>
      <c r="H281" s="8"/>
      <c r="I281" s="8"/>
      <c r="J281" s="29" t="s">
        <v>81</v>
      </c>
      <c r="K281" s="29" t="s">
        <v>81</v>
      </c>
      <c r="L281" s="29" t="s">
        <v>81</v>
      </c>
    </row>
    <row r="282" spans="1:12" ht="16.25" customHeight="1" x14ac:dyDescent="0.2">
      <c r="A282" s="10">
        <v>46118</v>
      </c>
      <c r="B282" s="56" t="s">
        <v>104</v>
      </c>
      <c r="C282" s="57"/>
      <c r="D282" s="74"/>
      <c r="E282" s="74"/>
      <c r="F282" s="20"/>
      <c r="G282" s="26"/>
      <c r="H282" s="8"/>
      <c r="I282" s="8"/>
      <c r="J282" s="29" t="s">
        <v>81</v>
      </c>
      <c r="K282" s="29" t="s">
        <v>87</v>
      </c>
      <c r="L282" s="29" t="s">
        <v>81</v>
      </c>
    </row>
    <row r="283" spans="1:12" ht="16.25" customHeight="1" x14ac:dyDescent="0.2">
      <c r="A283" s="17">
        <v>46119</v>
      </c>
      <c r="B283" s="64" t="s">
        <v>105</v>
      </c>
      <c r="C283" s="65"/>
      <c r="D283" s="79"/>
      <c r="E283" s="79"/>
      <c r="F283" s="22"/>
      <c r="G283" s="28"/>
      <c r="H283" s="19"/>
      <c r="I283" s="19"/>
      <c r="J283" s="32" t="s">
        <v>81</v>
      </c>
      <c r="K283" s="32"/>
      <c r="L283" s="32"/>
    </row>
    <row r="284" spans="1:12" ht="16.25" customHeight="1" x14ac:dyDescent="0.2">
      <c r="A284" s="7">
        <v>46120</v>
      </c>
      <c r="B284" s="61">
        <v>2</v>
      </c>
      <c r="C284" s="60"/>
      <c r="D284" s="76"/>
      <c r="E284" s="76"/>
      <c r="F284" s="21"/>
      <c r="G284" s="27">
        <f>1+SUM(G268:G274)</f>
        <v>31</v>
      </c>
      <c r="H284" s="5"/>
      <c r="I284" s="5"/>
      <c r="J284" s="29" t="s">
        <v>81</v>
      </c>
      <c r="K284" s="29"/>
      <c r="L284" s="29"/>
    </row>
    <row r="285" spans="1:12" ht="16.25" customHeight="1" x14ac:dyDescent="0.2">
      <c r="A285" s="7">
        <v>46121</v>
      </c>
      <c r="B285" s="61">
        <v>3</v>
      </c>
      <c r="C285" s="60"/>
      <c r="D285" s="76"/>
      <c r="E285" s="76"/>
      <c r="F285" s="21"/>
      <c r="G285" s="27"/>
      <c r="H285" s="5"/>
      <c r="I285" s="5"/>
      <c r="J285" s="29" t="s">
        <v>81</v>
      </c>
      <c r="K285" s="29"/>
      <c r="L285" s="29"/>
    </row>
    <row r="286" spans="1:12" ht="16.25" customHeight="1" x14ac:dyDescent="0.2">
      <c r="A286" s="7">
        <v>46122</v>
      </c>
      <c r="B286" s="61">
        <v>4</v>
      </c>
      <c r="C286" s="60"/>
      <c r="D286" s="76"/>
      <c r="E286" s="76"/>
      <c r="F286" s="21"/>
      <c r="G286" s="27"/>
      <c r="H286" s="5"/>
      <c r="I286" s="5"/>
      <c r="J286" s="29" t="s">
        <v>81</v>
      </c>
      <c r="K286" s="29"/>
      <c r="L286" s="29"/>
    </row>
    <row r="287" spans="1:12" ht="16.25" customHeight="1" x14ac:dyDescent="0.2">
      <c r="A287" s="10">
        <v>46123</v>
      </c>
      <c r="B287" s="56" t="s">
        <v>20</v>
      </c>
      <c r="C287" s="57"/>
      <c r="D287" s="74"/>
      <c r="E287" s="74"/>
      <c r="F287" s="20"/>
      <c r="G287" s="26"/>
      <c r="H287" s="8"/>
      <c r="I287" s="8"/>
      <c r="J287" s="29" t="s">
        <v>81</v>
      </c>
      <c r="K287" s="29"/>
      <c r="L287" s="29"/>
    </row>
    <row r="288" spans="1:12" ht="16.25" customHeight="1" x14ac:dyDescent="0.2">
      <c r="A288" s="10">
        <v>46124</v>
      </c>
      <c r="B288" s="56" t="s">
        <v>20</v>
      </c>
      <c r="C288" s="57"/>
      <c r="D288" s="74"/>
      <c r="E288" s="74"/>
      <c r="F288" s="20"/>
      <c r="G288" s="26"/>
      <c r="H288" s="8"/>
      <c r="I288" s="8"/>
      <c r="J288" s="29" t="s">
        <v>81</v>
      </c>
      <c r="K288" s="29"/>
      <c r="L288" s="29"/>
    </row>
    <row r="289" spans="1:12" ht="16.25" customHeight="1" x14ac:dyDescent="0.2">
      <c r="A289" s="7">
        <v>46125</v>
      </c>
      <c r="B289" s="61">
        <v>5</v>
      </c>
      <c r="C289" s="60"/>
      <c r="D289" s="76" t="s">
        <v>148</v>
      </c>
      <c r="E289" s="76"/>
      <c r="F289" s="21"/>
      <c r="G289" s="27">
        <f>1+SUM(G280:G286)</f>
        <v>32</v>
      </c>
      <c r="H289" s="5"/>
      <c r="I289" s="5"/>
      <c r="J289" s="29" t="s">
        <v>65</v>
      </c>
      <c r="K289" s="29"/>
      <c r="L289" s="29"/>
    </row>
    <row r="290" spans="1:12" ht="16.25" customHeight="1" x14ac:dyDescent="0.2">
      <c r="A290" s="7">
        <v>46126</v>
      </c>
      <c r="B290" s="61">
        <v>6</v>
      </c>
      <c r="C290" s="60"/>
      <c r="D290" s="76"/>
      <c r="E290" s="76"/>
      <c r="F290" s="21">
        <v>22</v>
      </c>
      <c r="G290" s="27"/>
      <c r="H290" s="5"/>
      <c r="I290" s="5"/>
      <c r="J290" s="29" t="s">
        <v>88</v>
      </c>
      <c r="K290" s="29"/>
      <c r="L290" s="29"/>
    </row>
    <row r="291" spans="1:12" ht="16.25" customHeight="1" x14ac:dyDescent="0.2">
      <c r="A291" s="7">
        <v>46127</v>
      </c>
      <c r="B291" s="61">
        <v>1</v>
      </c>
      <c r="C291" s="60"/>
      <c r="D291" s="76"/>
      <c r="E291" s="76"/>
      <c r="F291" s="21"/>
      <c r="G291" s="27"/>
      <c r="H291" s="5"/>
      <c r="I291" s="5"/>
      <c r="J291" s="29"/>
      <c r="K291" s="29"/>
      <c r="L291" s="29"/>
    </row>
    <row r="292" spans="1:12" ht="16.25" customHeight="1" x14ac:dyDescent="0.2">
      <c r="A292" s="7">
        <v>46128</v>
      </c>
      <c r="B292" s="61">
        <v>2</v>
      </c>
      <c r="C292" s="60"/>
      <c r="D292" s="76"/>
      <c r="E292" s="76"/>
      <c r="F292" s="21"/>
      <c r="G292" s="27"/>
      <c r="H292" s="5"/>
      <c r="I292" s="5"/>
      <c r="J292" s="29"/>
      <c r="K292" s="29"/>
      <c r="L292" s="29"/>
    </row>
    <row r="293" spans="1:12" ht="16.25" customHeight="1" x14ac:dyDescent="0.2">
      <c r="A293" s="46">
        <v>46129</v>
      </c>
      <c r="B293" s="66" t="s">
        <v>51</v>
      </c>
      <c r="C293" s="67" t="s">
        <v>106</v>
      </c>
      <c r="D293" s="80" t="s">
        <v>151</v>
      </c>
      <c r="E293" s="80"/>
      <c r="F293" s="48"/>
      <c r="G293" s="49"/>
      <c r="H293" s="50"/>
      <c r="I293" s="50"/>
      <c r="J293" s="51"/>
      <c r="K293" s="51"/>
      <c r="L293" s="51"/>
    </row>
    <row r="294" spans="1:12" ht="16.25" customHeight="1" x14ac:dyDescent="0.2">
      <c r="A294" s="10">
        <v>46130</v>
      </c>
      <c r="B294" s="56" t="s">
        <v>20</v>
      </c>
      <c r="C294" s="57"/>
      <c r="D294" s="74"/>
      <c r="E294" s="74"/>
      <c r="F294" s="20"/>
      <c r="G294" s="26"/>
      <c r="H294" s="8"/>
      <c r="I294" s="8"/>
      <c r="J294" s="29"/>
      <c r="K294" s="29"/>
      <c r="L294" s="29"/>
    </row>
    <row r="295" spans="1:12" ht="16.25" customHeight="1" x14ac:dyDescent="0.2">
      <c r="A295" s="10">
        <v>46131</v>
      </c>
      <c r="B295" s="56" t="s">
        <v>20</v>
      </c>
      <c r="C295" s="57"/>
      <c r="D295" s="74"/>
      <c r="E295" s="74"/>
      <c r="F295" s="20"/>
      <c r="G295" s="26"/>
      <c r="H295" s="8"/>
      <c r="I295" s="8"/>
      <c r="J295" s="29"/>
      <c r="K295" s="29"/>
      <c r="L295" s="29"/>
    </row>
    <row r="296" spans="1:12" ht="16.25" customHeight="1" x14ac:dyDescent="0.2">
      <c r="A296" s="7">
        <v>46132</v>
      </c>
      <c r="B296" s="61">
        <v>3</v>
      </c>
      <c r="C296" s="60"/>
      <c r="D296" s="76" t="s">
        <v>180</v>
      </c>
      <c r="E296" s="76"/>
      <c r="F296" s="21"/>
      <c r="G296" s="27">
        <f>1+SUM(G287:G293)</f>
        <v>33</v>
      </c>
      <c r="H296" s="5"/>
      <c r="I296" s="5"/>
      <c r="J296" s="29"/>
      <c r="K296" s="29"/>
      <c r="L296" s="29"/>
    </row>
    <row r="297" spans="1:12" ht="16.25" customHeight="1" x14ac:dyDescent="0.2">
      <c r="A297" s="7">
        <v>46133</v>
      </c>
      <c r="B297" s="61">
        <v>4</v>
      </c>
      <c r="C297" s="60"/>
      <c r="D297" s="76" t="s">
        <v>180</v>
      </c>
      <c r="E297" s="76"/>
      <c r="F297" s="21"/>
      <c r="G297" s="27"/>
      <c r="H297" s="5"/>
      <c r="I297" s="5"/>
      <c r="J297" s="29"/>
      <c r="K297" s="29"/>
      <c r="L297" s="29"/>
    </row>
    <row r="298" spans="1:12" ht="16.25" customHeight="1" x14ac:dyDescent="0.2">
      <c r="A298" s="7">
        <v>46134</v>
      </c>
      <c r="B298" s="61">
        <v>5</v>
      </c>
      <c r="C298" s="60"/>
      <c r="D298" s="76" t="s">
        <v>180</v>
      </c>
      <c r="E298" s="76"/>
      <c r="F298" s="21"/>
      <c r="G298" s="27"/>
      <c r="H298" s="5"/>
      <c r="I298" s="5"/>
      <c r="J298" s="29"/>
      <c r="K298" s="29"/>
      <c r="L298" s="29"/>
    </row>
    <row r="299" spans="1:12" ht="16.25" customHeight="1" x14ac:dyDescent="0.2">
      <c r="A299" s="7">
        <v>46135</v>
      </c>
      <c r="B299" s="61">
        <v>6</v>
      </c>
      <c r="C299" s="60"/>
      <c r="D299" s="76" t="s">
        <v>181</v>
      </c>
      <c r="E299" s="76"/>
      <c r="F299" s="21">
        <v>23</v>
      </c>
      <c r="G299" s="27"/>
      <c r="H299" s="5"/>
      <c r="I299" s="5"/>
      <c r="J299" s="29"/>
      <c r="K299" s="29"/>
      <c r="L299" s="29"/>
    </row>
    <row r="300" spans="1:12" ht="16.25" customHeight="1" x14ac:dyDescent="0.2">
      <c r="A300" s="7">
        <v>46136</v>
      </c>
      <c r="B300" s="61">
        <v>1</v>
      </c>
      <c r="C300" s="60"/>
      <c r="D300" s="76"/>
      <c r="E300" s="76"/>
      <c r="F300" s="21"/>
      <c r="G300" s="27"/>
      <c r="H300" s="5"/>
      <c r="I300" s="5"/>
      <c r="J300" s="29"/>
      <c r="K300" s="29"/>
      <c r="L300" s="29"/>
    </row>
    <row r="301" spans="1:12" ht="16.25" customHeight="1" x14ac:dyDescent="0.2">
      <c r="A301" s="10">
        <v>46137</v>
      </c>
      <c r="B301" s="56" t="s">
        <v>20</v>
      </c>
      <c r="C301" s="57"/>
      <c r="D301" s="74"/>
      <c r="E301" s="74"/>
      <c r="F301" s="20"/>
      <c r="G301" s="26"/>
      <c r="H301" s="8"/>
      <c r="I301" s="8"/>
      <c r="J301" s="29"/>
      <c r="K301" s="29"/>
      <c r="L301" s="29"/>
    </row>
    <row r="302" spans="1:12" ht="16.25" customHeight="1" x14ac:dyDescent="0.2">
      <c r="A302" s="10">
        <v>46138</v>
      </c>
      <c r="B302" s="56" t="s">
        <v>20</v>
      </c>
      <c r="C302" s="57"/>
      <c r="D302" s="74"/>
      <c r="E302" s="74"/>
      <c r="F302" s="20"/>
      <c r="G302" s="26"/>
      <c r="H302" s="8"/>
      <c r="I302" s="8"/>
      <c r="J302" s="29"/>
      <c r="K302" s="29"/>
      <c r="L302" s="29"/>
    </row>
    <row r="303" spans="1:12" ht="16.25" customHeight="1" x14ac:dyDescent="0.2">
      <c r="A303" s="7">
        <v>46139</v>
      </c>
      <c r="B303" s="61">
        <v>2</v>
      </c>
      <c r="C303" s="60"/>
      <c r="D303" s="76"/>
      <c r="E303" s="76"/>
      <c r="F303" s="21"/>
      <c r="G303" s="27">
        <f>1+SUM(G294:G300)</f>
        <v>34</v>
      </c>
      <c r="H303" s="5"/>
      <c r="I303" s="5"/>
      <c r="J303" s="29"/>
      <c r="K303" s="29"/>
      <c r="L303" s="29"/>
    </row>
    <row r="304" spans="1:12" ht="16.25" customHeight="1" x14ac:dyDescent="0.2">
      <c r="A304" s="7">
        <v>46140</v>
      </c>
      <c r="B304" s="61">
        <v>3</v>
      </c>
      <c r="C304" s="60"/>
      <c r="D304" s="76"/>
      <c r="E304" s="76"/>
      <c r="F304" s="21"/>
      <c r="G304" s="27"/>
      <c r="H304" s="5"/>
      <c r="I304" s="5"/>
      <c r="J304" s="29"/>
      <c r="K304" s="29"/>
      <c r="L304" s="29"/>
    </row>
    <row r="305" spans="1:12" ht="16.25" customHeight="1" x14ac:dyDescent="0.2">
      <c r="A305" s="7">
        <v>46141</v>
      </c>
      <c r="B305" s="61">
        <v>4</v>
      </c>
      <c r="C305" s="60"/>
      <c r="D305" s="76"/>
      <c r="E305" s="76"/>
      <c r="F305" s="21"/>
      <c r="G305" s="27"/>
      <c r="H305" s="5"/>
      <c r="I305" s="5"/>
      <c r="J305" s="29"/>
      <c r="K305" s="29"/>
      <c r="L305" s="29"/>
    </row>
    <row r="306" spans="1:12" ht="16.25" customHeight="1" x14ac:dyDescent="0.2">
      <c r="A306" s="7">
        <v>46142</v>
      </c>
      <c r="B306" s="61">
        <v>5</v>
      </c>
      <c r="C306" s="60"/>
      <c r="D306" s="76"/>
      <c r="E306" s="76"/>
      <c r="F306" s="21"/>
      <c r="G306" s="27"/>
      <c r="H306" s="5"/>
      <c r="I306" s="5"/>
      <c r="J306" s="29"/>
      <c r="K306" s="29"/>
      <c r="L306" s="29"/>
    </row>
    <row r="307" spans="1:12" ht="16.25" customHeight="1" x14ac:dyDescent="0.2">
      <c r="A307" s="10">
        <v>46143</v>
      </c>
      <c r="B307" s="56" t="s">
        <v>17</v>
      </c>
      <c r="C307" s="57"/>
      <c r="D307" s="74"/>
      <c r="E307" s="74"/>
      <c r="F307" s="20"/>
      <c r="G307" s="26"/>
      <c r="H307" s="8"/>
      <c r="I307" s="8"/>
      <c r="J307" s="29"/>
      <c r="K307" s="29"/>
      <c r="L307" s="29"/>
    </row>
    <row r="308" spans="1:12" ht="16.25" customHeight="1" x14ac:dyDescent="0.2">
      <c r="A308" s="10">
        <v>46144</v>
      </c>
      <c r="B308" s="56" t="s">
        <v>20</v>
      </c>
      <c r="C308" s="57"/>
      <c r="D308" s="74"/>
      <c r="E308" s="74"/>
      <c r="F308" s="20"/>
      <c r="G308" s="26"/>
      <c r="H308" s="8"/>
      <c r="I308" s="8"/>
      <c r="J308" s="29"/>
      <c r="K308" s="29"/>
      <c r="L308" s="29"/>
    </row>
    <row r="309" spans="1:12" ht="16.25" customHeight="1" x14ac:dyDescent="0.2">
      <c r="A309" s="10">
        <v>46145</v>
      </c>
      <c r="B309" s="56" t="s">
        <v>20</v>
      </c>
      <c r="C309" s="57"/>
      <c r="D309" s="74"/>
      <c r="E309" s="74"/>
      <c r="F309" s="20"/>
      <c r="G309" s="26"/>
      <c r="H309" s="8"/>
      <c r="I309" s="8"/>
      <c r="J309" s="29"/>
      <c r="K309" s="29"/>
      <c r="L309" s="29"/>
    </row>
    <row r="310" spans="1:12" ht="16.25" customHeight="1" x14ac:dyDescent="0.2">
      <c r="A310" s="7">
        <v>46146</v>
      </c>
      <c r="B310" s="61">
        <v>6</v>
      </c>
      <c r="C310" s="60"/>
      <c r="D310" s="76"/>
      <c r="E310" s="76"/>
      <c r="F310" s="21">
        <v>24</v>
      </c>
      <c r="G310" s="27">
        <f>1+SUM(G301:G307)</f>
        <v>35</v>
      </c>
      <c r="H310" s="5"/>
      <c r="I310" s="5"/>
      <c r="J310" s="29"/>
      <c r="K310" s="29"/>
      <c r="L310" s="29"/>
    </row>
    <row r="311" spans="1:12" ht="16.25" customHeight="1" x14ac:dyDescent="0.2">
      <c r="A311" s="7">
        <v>46147</v>
      </c>
      <c r="B311" s="61">
        <v>1</v>
      </c>
      <c r="C311" s="60"/>
      <c r="D311" s="76"/>
      <c r="E311" s="76"/>
      <c r="F311" s="21"/>
      <c r="G311" s="27"/>
      <c r="H311" s="5"/>
      <c r="I311" s="5"/>
      <c r="J311" s="29"/>
      <c r="K311" s="29"/>
      <c r="L311" s="29"/>
    </row>
    <row r="312" spans="1:12" ht="16.25" customHeight="1" x14ac:dyDescent="0.2">
      <c r="A312" s="7">
        <v>46148</v>
      </c>
      <c r="B312" s="61">
        <v>2</v>
      </c>
      <c r="C312" s="60"/>
      <c r="D312" s="76"/>
      <c r="E312" s="76"/>
      <c r="F312" s="21"/>
      <c r="G312" s="27"/>
      <c r="H312" s="5"/>
      <c r="I312" s="5"/>
      <c r="J312" s="29"/>
      <c r="K312" s="29"/>
      <c r="L312" s="29"/>
    </row>
    <row r="313" spans="1:12" ht="16.25" customHeight="1" x14ac:dyDescent="0.2">
      <c r="A313" s="7">
        <v>46149</v>
      </c>
      <c r="B313" s="61">
        <v>3</v>
      </c>
      <c r="C313" s="60"/>
      <c r="D313" s="76" t="s">
        <v>182</v>
      </c>
      <c r="E313" s="76"/>
      <c r="F313" s="21"/>
      <c r="G313" s="27"/>
      <c r="H313" s="5"/>
      <c r="I313" s="5"/>
      <c r="J313" s="29"/>
      <c r="K313" s="29"/>
      <c r="L313" s="29"/>
    </row>
    <row r="314" spans="1:12" ht="16.25" customHeight="1" x14ac:dyDescent="0.2">
      <c r="A314" s="7">
        <v>46150</v>
      </c>
      <c r="B314" s="61">
        <v>4</v>
      </c>
      <c r="C314" s="60"/>
      <c r="D314" s="76"/>
      <c r="E314" s="76"/>
      <c r="F314" s="21"/>
      <c r="G314" s="27"/>
      <c r="H314" s="5"/>
      <c r="I314" s="5"/>
      <c r="J314" s="29"/>
      <c r="K314" s="29"/>
      <c r="L314" s="29"/>
    </row>
    <row r="315" spans="1:12" ht="16.25" customHeight="1" x14ac:dyDescent="0.2">
      <c r="A315" s="10">
        <v>46151</v>
      </c>
      <c r="B315" s="56" t="s">
        <v>20</v>
      </c>
      <c r="C315" s="57"/>
      <c r="D315" s="74"/>
      <c r="E315" s="74"/>
      <c r="F315" s="20"/>
      <c r="G315" s="26"/>
      <c r="H315" s="8"/>
      <c r="I315" s="8"/>
      <c r="J315" s="29"/>
      <c r="K315" s="29"/>
      <c r="L315" s="29"/>
    </row>
    <row r="316" spans="1:12" ht="16.25" customHeight="1" x14ac:dyDescent="0.2">
      <c r="A316" s="10">
        <v>46152</v>
      </c>
      <c r="B316" s="56" t="s">
        <v>20</v>
      </c>
      <c r="C316" s="57"/>
      <c r="D316" s="74"/>
      <c r="E316" s="74"/>
      <c r="F316" s="20"/>
      <c r="G316" s="26"/>
      <c r="H316" s="8"/>
      <c r="I316" s="8"/>
      <c r="J316" s="29"/>
      <c r="K316" s="29"/>
      <c r="L316" s="29"/>
    </row>
    <row r="317" spans="1:12" ht="16.25" customHeight="1" x14ac:dyDescent="0.2">
      <c r="A317" s="7">
        <v>46153</v>
      </c>
      <c r="B317" s="61">
        <v>5</v>
      </c>
      <c r="C317" s="60"/>
      <c r="D317" s="76" t="s">
        <v>158</v>
      </c>
      <c r="E317" s="76"/>
      <c r="F317" s="21"/>
      <c r="G317" s="27">
        <f>1+SUM(G308:G314)</f>
        <v>36</v>
      </c>
      <c r="H317" s="5"/>
      <c r="I317" s="5"/>
      <c r="J317" s="29"/>
      <c r="K317" s="29"/>
      <c r="L317" s="29"/>
    </row>
    <row r="318" spans="1:12" ht="16.25" customHeight="1" x14ac:dyDescent="0.2">
      <c r="A318" s="7">
        <v>46154</v>
      </c>
      <c r="B318" s="61">
        <v>6</v>
      </c>
      <c r="C318" s="60"/>
      <c r="D318" s="76"/>
      <c r="E318" s="76"/>
      <c r="F318" s="21">
        <v>25</v>
      </c>
      <c r="G318" s="27"/>
      <c r="H318" s="5"/>
      <c r="I318" s="5"/>
      <c r="J318" s="29"/>
      <c r="K318" s="29"/>
      <c r="L318" s="29"/>
    </row>
    <row r="319" spans="1:12" ht="16.25" customHeight="1" x14ac:dyDescent="0.2">
      <c r="A319" s="7">
        <v>46155</v>
      </c>
      <c r="B319" s="61">
        <v>1</v>
      </c>
      <c r="C319" s="60"/>
      <c r="D319" s="76"/>
      <c r="E319" s="76"/>
      <c r="F319" s="21"/>
      <c r="G319" s="27"/>
      <c r="H319" s="5"/>
      <c r="I319" s="5"/>
      <c r="J319" s="29"/>
      <c r="K319" s="29"/>
      <c r="L319" s="29"/>
    </row>
    <row r="320" spans="1:12" ht="16.25" customHeight="1" x14ac:dyDescent="0.2">
      <c r="A320" s="7">
        <v>46156</v>
      </c>
      <c r="B320" s="61">
        <v>2</v>
      </c>
      <c r="C320" s="60"/>
      <c r="D320" s="76" t="s">
        <v>183</v>
      </c>
      <c r="E320" s="76"/>
      <c r="F320" s="21"/>
      <c r="G320" s="27"/>
      <c r="H320" s="5"/>
      <c r="I320" s="5"/>
      <c r="J320" s="29"/>
      <c r="K320" s="29"/>
      <c r="L320" s="29"/>
    </row>
    <row r="321" spans="1:12" ht="16.25" customHeight="1" x14ac:dyDescent="0.2">
      <c r="A321" s="10">
        <v>46157</v>
      </c>
      <c r="B321" s="56" t="s">
        <v>109</v>
      </c>
      <c r="C321" s="57"/>
      <c r="D321" s="74"/>
      <c r="E321" s="74"/>
      <c r="F321" s="20"/>
      <c r="G321" s="26"/>
      <c r="H321" s="8"/>
      <c r="I321" s="8"/>
      <c r="J321" s="29"/>
      <c r="K321" s="29"/>
      <c r="L321" s="29"/>
    </row>
    <row r="322" spans="1:12" ht="16.25" customHeight="1" x14ac:dyDescent="0.2">
      <c r="A322" s="10">
        <v>46158</v>
      </c>
      <c r="B322" s="56" t="s">
        <v>20</v>
      </c>
      <c r="C322" s="57"/>
      <c r="D322" s="74"/>
      <c r="E322" s="74"/>
      <c r="F322" s="20"/>
      <c r="G322" s="26"/>
      <c r="H322" s="8"/>
      <c r="I322" s="8"/>
      <c r="J322" s="29"/>
      <c r="K322" s="29"/>
      <c r="L322" s="29"/>
    </row>
    <row r="323" spans="1:12" ht="16.25" customHeight="1" x14ac:dyDescent="0.2">
      <c r="A323" s="10">
        <v>46159</v>
      </c>
      <c r="B323" s="56" t="s">
        <v>20</v>
      </c>
      <c r="C323" s="57"/>
      <c r="D323" s="74"/>
      <c r="E323" s="74"/>
      <c r="F323" s="20"/>
      <c r="G323" s="26"/>
      <c r="H323" s="8"/>
      <c r="I323" s="8"/>
      <c r="J323" s="29"/>
      <c r="K323" s="29"/>
      <c r="L323" s="29"/>
    </row>
    <row r="324" spans="1:12" ht="16.25" customHeight="1" x14ac:dyDescent="0.2">
      <c r="A324" s="10">
        <v>46160</v>
      </c>
      <c r="B324" s="56" t="s">
        <v>17</v>
      </c>
      <c r="C324" s="57"/>
      <c r="D324" s="74"/>
      <c r="E324" s="74"/>
      <c r="F324" s="20"/>
      <c r="G324" s="26"/>
      <c r="H324" s="8"/>
      <c r="I324" s="8"/>
      <c r="J324" s="29"/>
      <c r="K324" s="29"/>
      <c r="L324" s="29"/>
    </row>
    <row r="325" spans="1:12" ht="16.25" customHeight="1" x14ac:dyDescent="0.2">
      <c r="A325" s="7">
        <v>46161</v>
      </c>
      <c r="B325" s="61">
        <v>3</v>
      </c>
      <c r="C325" s="60"/>
      <c r="D325" s="76" t="s">
        <v>184</v>
      </c>
      <c r="E325" s="76"/>
      <c r="F325" s="21"/>
      <c r="G325" s="27">
        <f>1+SUM(G316:G322)</f>
        <v>37</v>
      </c>
      <c r="H325" s="5"/>
      <c r="I325" s="5"/>
      <c r="J325" s="29"/>
      <c r="K325" s="29"/>
      <c r="L325" s="29"/>
    </row>
    <row r="326" spans="1:12" ht="16.25" customHeight="1" x14ac:dyDescent="0.2">
      <c r="A326" s="7">
        <v>46162</v>
      </c>
      <c r="B326" s="61">
        <v>4</v>
      </c>
      <c r="C326" s="60"/>
      <c r="D326" s="76" t="s">
        <v>184</v>
      </c>
      <c r="E326" s="76"/>
      <c r="F326" s="21"/>
      <c r="G326" s="27"/>
      <c r="H326" s="5"/>
      <c r="I326" s="5"/>
      <c r="J326" s="29"/>
      <c r="K326" s="29"/>
      <c r="L326" s="29"/>
    </row>
    <row r="327" spans="1:12" ht="16.25" customHeight="1" x14ac:dyDescent="0.2">
      <c r="A327" s="7">
        <v>46163</v>
      </c>
      <c r="B327" s="61">
        <v>5</v>
      </c>
      <c r="C327" s="60"/>
      <c r="D327" s="76" t="s">
        <v>184</v>
      </c>
      <c r="E327" s="76"/>
      <c r="F327" s="21"/>
      <c r="G327" s="27"/>
      <c r="H327" s="5"/>
      <c r="I327" s="5"/>
      <c r="J327" s="29"/>
      <c r="K327" s="29"/>
      <c r="L327" s="29"/>
    </row>
    <row r="328" spans="1:12" ht="16.25" customHeight="1" x14ac:dyDescent="0.2">
      <c r="A328" s="7">
        <v>46164</v>
      </c>
      <c r="B328" s="58" t="s">
        <v>51</v>
      </c>
      <c r="C328" s="60" t="s">
        <v>112</v>
      </c>
      <c r="D328" s="76" t="s">
        <v>112</v>
      </c>
      <c r="E328" s="76"/>
      <c r="F328" s="21"/>
      <c r="G328" s="27"/>
      <c r="H328" s="5"/>
      <c r="I328" s="5"/>
      <c r="J328" s="29"/>
      <c r="K328" s="29"/>
      <c r="L328" s="29"/>
    </row>
    <row r="329" spans="1:12" ht="16.25" customHeight="1" x14ac:dyDescent="0.2">
      <c r="A329" s="10">
        <v>46165</v>
      </c>
      <c r="B329" s="56" t="s">
        <v>20</v>
      </c>
      <c r="C329" s="57"/>
      <c r="D329" s="74"/>
      <c r="E329" s="74"/>
      <c r="F329" s="20"/>
      <c r="G329" s="26"/>
      <c r="H329" s="8"/>
      <c r="I329" s="8"/>
      <c r="J329" s="29"/>
      <c r="K329" s="29"/>
      <c r="L329" s="29"/>
    </row>
    <row r="330" spans="1:12" ht="16.25" customHeight="1" x14ac:dyDescent="0.2">
      <c r="A330" s="10">
        <v>46166</v>
      </c>
      <c r="B330" s="56" t="s">
        <v>20</v>
      </c>
      <c r="C330" s="57"/>
      <c r="D330" s="74"/>
      <c r="E330" s="74"/>
      <c r="F330" s="20"/>
      <c r="G330" s="26"/>
      <c r="H330" s="8"/>
      <c r="I330" s="8"/>
      <c r="J330" s="29"/>
      <c r="K330" s="29"/>
      <c r="L330" s="29"/>
    </row>
    <row r="331" spans="1:12" ht="16.25" customHeight="1" x14ac:dyDescent="0.2">
      <c r="A331" s="7">
        <v>46167</v>
      </c>
      <c r="B331" s="61">
        <v>6</v>
      </c>
      <c r="C331" s="60" t="s">
        <v>77</v>
      </c>
      <c r="D331" s="76"/>
      <c r="E331" s="76"/>
      <c r="F331" s="21">
        <v>26</v>
      </c>
      <c r="G331" s="27">
        <f>1+SUM(G322:G328)</f>
        <v>38</v>
      </c>
      <c r="H331" s="5"/>
      <c r="I331" s="5"/>
      <c r="J331" s="29"/>
      <c r="K331" s="29"/>
      <c r="L331" s="29"/>
    </row>
    <row r="332" spans="1:12" ht="16.25" customHeight="1" x14ac:dyDescent="0.2">
      <c r="A332" s="7">
        <v>46168</v>
      </c>
      <c r="B332" s="61">
        <v>1</v>
      </c>
      <c r="C332" s="60" t="s">
        <v>77</v>
      </c>
      <c r="D332" s="76"/>
      <c r="E332" s="76"/>
      <c r="F332" s="21"/>
      <c r="G332" s="27"/>
      <c r="H332" s="5"/>
      <c r="I332" s="5"/>
      <c r="J332" s="29"/>
      <c r="K332" s="29"/>
      <c r="L332" s="29"/>
    </row>
    <row r="333" spans="1:12" ht="16.25" customHeight="1" x14ac:dyDescent="0.2">
      <c r="A333" s="7">
        <v>46169</v>
      </c>
      <c r="B333" s="61">
        <v>2</v>
      </c>
      <c r="C333" s="60" t="s">
        <v>77</v>
      </c>
      <c r="D333" s="76"/>
      <c r="E333" s="76"/>
      <c r="F333" s="21"/>
      <c r="G333" s="27"/>
      <c r="H333" s="5"/>
      <c r="I333" s="5"/>
      <c r="J333" s="29"/>
      <c r="K333" s="29"/>
      <c r="L333" s="29"/>
    </row>
    <row r="334" spans="1:12" ht="16.25" customHeight="1" x14ac:dyDescent="0.2">
      <c r="A334" s="7">
        <v>46170</v>
      </c>
      <c r="B334" s="61">
        <v>3</v>
      </c>
      <c r="C334" s="60" t="s">
        <v>77</v>
      </c>
      <c r="D334" s="76"/>
      <c r="E334" s="76"/>
      <c r="F334" s="21"/>
      <c r="G334" s="27"/>
      <c r="H334" s="5"/>
      <c r="I334" s="5"/>
      <c r="J334" s="29"/>
      <c r="K334" s="29"/>
      <c r="L334" s="29"/>
    </row>
    <row r="335" spans="1:12" ht="16.25" customHeight="1" x14ac:dyDescent="0.2">
      <c r="A335" s="7">
        <v>46171</v>
      </c>
      <c r="B335" s="61">
        <v>4</v>
      </c>
      <c r="C335" s="60" t="s">
        <v>77</v>
      </c>
      <c r="D335" s="76"/>
      <c r="E335" s="76"/>
      <c r="F335" s="21"/>
      <c r="G335" s="27"/>
      <c r="H335" s="5"/>
      <c r="I335" s="5"/>
      <c r="J335" s="29"/>
      <c r="K335" s="29"/>
      <c r="L335" s="29"/>
    </row>
    <row r="336" spans="1:12" ht="16.25" customHeight="1" x14ac:dyDescent="0.2">
      <c r="A336" s="10">
        <v>46172</v>
      </c>
      <c r="B336" s="56" t="s">
        <v>20</v>
      </c>
      <c r="C336" s="57"/>
      <c r="D336" s="74"/>
      <c r="E336" s="74"/>
      <c r="F336" s="20"/>
      <c r="G336" s="26"/>
      <c r="H336" s="8"/>
      <c r="I336" s="8"/>
      <c r="J336" s="29"/>
      <c r="K336" s="29"/>
      <c r="L336" s="29"/>
    </row>
    <row r="337" spans="1:12" ht="16.25" customHeight="1" x14ac:dyDescent="0.2">
      <c r="A337" s="10">
        <v>46173</v>
      </c>
      <c r="B337" s="56" t="s">
        <v>20</v>
      </c>
      <c r="C337" s="57"/>
      <c r="D337" s="74"/>
      <c r="E337" s="74"/>
      <c r="F337" s="20"/>
      <c r="G337" s="26"/>
      <c r="H337" s="8"/>
      <c r="I337" s="8"/>
      <c r="J337" s="29"/>
      <c r="K337" s="29"/>
      <c r="L337" s="29"/>
    </row>
    <row r="338" spans="1:12" ht="16.25" customHeight="1" x14ac:dyDescent="0.2">
      <c r="A338" s="7">
        <v>46174</v>
      </c>
      <c r="B338" s="61">
        <v>5</v>
      </c>
      <c r="C338" s="60" t="s">
        <v>77</v>
      </c>
      <c r="D338" s="76"/>
      <c r="E338" s="76"/>
      <c r="F338" s="21"/>
      <c r="G338" s="27">
        <f>1+SUM(G329:G335)</f>
        <v>39</v>
      </c>
      <c r="H338" s="5"/>
      <c r="I338" s="5"/>
      <c r="J338" s="29"/>
      <c r="K338" s="29"/>
      <c r="L338" s="29"/>
    </row>
    <row r="339" spans="1:12" ht="16.25" customHeight="1" x14ac:dyDescent="0.2">
      <c r="A339" s="7">
        <v>46175</v>
      </c>
      <c r="B339" s="61">
        <v>6</v>
      </c>
      <c r="C339" s="60" t="s">
        <v>77</v>
      </c>
      <c r="D339" s="76"/>
      <c r="E339" s="76"/>
      <c r="F339" s="21">
        <v>27</v>
      </c>
      <c r="G339" s="27"/>
      <c r="H339" s="5"/>
      <c r="I339" s="5"/>
      <c r="J339" s="29"/>
      <c r="K339" s="29"/>
      <c r="L339" s="29"/>
    </row>
    <row r="340" spans="1:12" ht="16.25" customHeight="1" x14ac:dyDescent="0.2">
      <c r="A340" s="7">
        <v>46176</v>
      </c>
      <c r="B340" s="61">
        <v>1</v>
      </c>
      <c r="C340" s="69"/>
      <c r="D340" s="76"/>
      <c r="E340" s="76"/>
      <c r="F340" s="21"/>
      <c r="G340" s="27"/>
      <c r="H340" s="5"/>
      <c r="I340" s="5"/>
      <c r="J340" s="29"/>
      <c r="K340" s="29"/>
      <c r="L340" s="29"/>
    </row>
    <row r="341" spans="1:12" ht="16.25" customHeight="1" x14ac:dyDescent="0.2">
      <c r="A341" s="7">
        <v>46177</v>
      </c>
      <c r="B341" s="61">
        <v>2</v>
      </c>
      <c r="C341" s="60"/>
      <c r="D341" s="76" t="s">
        <v>148</v>
      </c>
      <c r="E341" s="76"/>
      <c r="F341" s="21"/>
      <c r="G341" s="27"/>
      <c r="H341" s="5"/>
      <c r="I341" s="5"/>
      <c r="J341" s="29"/>
      <c r="K341" s="29"/>
      <c r="L341" s="29"/>
    </row>
    <row r="342" spans="1:12" ht="16.25" customHeight="1" x14ac:dyDescent="0.2">
      <c r="A342" s="7">
        <v>46178</v>
      </c>
      <c r="B342" s="61">
        <v>3</v>
      </c>
      <c r="C342" s="60"/>
      <c r="D342" s="76"/>
      <c r="E342" s="76"/>
      <c r="F342" s="21"/>
      <c r="G342" s="27"/>
      <c r="H342" s="5"/>
      <c r="I342" s="5"/>
      <c r="J342" s="29"/>
      <c r="K342" s="29"/>
      <c r="L342" s="29"/>
    </row>
    <row r="343" spans="1:12" ht="16.25" customHeight="1" x14ac:dyDescent="0.2">
      <c r="A343" s="10">
        <v>46179</v>
      </c>
      <c r="B343" s="56" t="s">
        <v>20</v>
      </c>
      <c r="C343" s="57"/>
      <c r="D343" s="74"/>
      <c r="E343" s="74"/>
      <c r="F343" s="20"/>
      <c r="G343" s="26"/>
      <c r="H343" s="8"/>
      <c r="I343" s="8"/>
      <c r="J343" s="29"/>
      <c r="K343" s="29"/>
      <c r="L343" s="29"/>
    </row>
    <row r="344" spans="1:12" ht="16.25" customHeight="1" x14ac:dyDescent="0.2">
      <c r="A344" s="10">
        <v>46180</v>
      </c>
      <c r="B344" s="56" t="s">
        <v>20</v>
      </c>
      <c r="C344" s="57"/>
      <c r="D344" s="74"/>
      <c r="E344" s="74"/>
      <c r="F344" s="20"/>
      <c r="G344" s="26"/>
      <c r="H344" s="8"/>
      <c r="I344" s="8"/>
      <c r="J344" s="29"/>
      <c r="K344" s="29"/>
      <c r="L344" s="29"/>
    </row>
    <row r="345" spans="1:12" ht="16.25" customHeight="1" x14ac:dyDescent="0.2">
      <c r="A345" s="10">
        <v>46181</v>
      </c>
      <c r="B345" s="56" t="s">
        <v>17</v>
      </c>
      <c r="C345" s="57"/>
      <c r="D345" s="74"/>
      <c r="E345" s="74"/>
      <c r="F345" s="20"/>
      <c r="G345" s="26"/>
      <c r="H345" s="8"/>
      <c r="I345" s="8"/>
      <c r="J345" s="29"/>
      <c r="K345" s="29"/>
      <c r="L345" s="29"/>
    </row>
    <row r="346" spans="1:12" ht="16.25" customHeight="1" x14ac:dyDescent="0.2">
      <c r="A346" s="17">
        <v>46182</v>
      </c>
      <c r="B346" s="64" t="s">
        <v>114</v>
      </c>
      <c r="C346" s="70" t="s">
        <v>115</v>
      </c>
      <c r="D346" s="79"/>
      <c r="E346" s="79"/>
      <c r="F346" s="22"/>
      <c r="G346" s="28">
        <f>1+SUM(G337:G343)</f>
        <v>40</v>
      </c>
      <c r="H346" s="19"/>
      <c r="I346" s="19"/>
      <c r="J346" s="32"/>
      <c r="K346" s="32"/>
      <c r="L346" s="32"/>
    </row>
    <row r="347" spans="1:12" ht="16.25" customHeight="1" x14ac:dyDescent="0.2">
      <c r="A347" s="7">
        <v>46183</v>
      </c>
      <c r="B347" s="61">
        <v>5</v>
      </c>
      <c r="C347" s="69"/>
      <c r="D347" s="76"/>
      <c r="E347" s="76"/>
      <c r="F347" s="21"/>
      <c r="G347" s="27"/>
      <c r="H347" s="5"/>
      <c r="I347" s="5"/>
      <c r="J347" s="29"/>
      <c r="K347" s="29"/>
      <c r="L347" s="29"/>
    </row>
    <row r="348" spans="1:12" ht="16.25" customHeight="1" x14ac:dyDescent="0.2">
      <c r="A348" s="7">
        <v>46184</v>
      </c>
      <c r="B348" s="61">
        <v>6</v>
      </c>
      <c r="C348" s="69" t="s">
        <v>116</v>
      </c>
      <c r="D348" s="76"/>
      <c r="E348" s="76"/>
      <c r="F348" s="21">
        <v>28</v>
      </c>
      <c r="G348" s="27"/>
      <c r="H348" s="5"/>
      <c r="I348" s="5"/>
      <c r="J348" s="29"/>
      <c r="K348" s="29"/>
      <c r="L348" s="29"/>
    </row>
    <row r="349" spans="1:12" ht="16.25" customHeight="1" x14ac:dyDescent="0.2">
      <c r="A349" s="37">
        <v>46185</v>
      </c>
      <c r="B349" s="62">
        <v>1</v>
      </c>
      <c r="C349" s="63" t="s">
        <v>117</v>
      </c>
      <c r="D349" s="78" t="s">
        <v>185</v>
      </c>
      <c r="E349" s="78"/>
      <c r="F349" s="40"/>
      <c r="G349" s="41"/>
      <c r="H349" s="42"/>
      <c r="I349" s="42"/>
      <c r="J349" s="43"/>
      <c r="K349" s="43"/>
      <c r="L349" s="43" t="s">
        <v>118</v>
      </c>
    </row>
    <row r="350" spans="1:12" ht="16.25" customHeight="1" x14ac:dyDescent="0.2">
      <c r="A350" s="10">
        <v>46186</v>
      </c>
      <c r="B350" s="56" t="s">
        <v>20</v>
      </c>
      <c r="C350" s="57"/>
      <c r="D350" s="74"/>
      <c r="E350" s="74"/>
      <c r="F350" s="20"/>
      <c r="G350" s="26"/>
      <c r="H350" s="8"/>
      <c r="I350" s="8"/>
      <c r="J350" s="29"/>
      <c r="K350" s="29"/>
      <c r="L350" s="29"/>
    </row>
    <row r="351" spans="1:12" ht="16.25" customHeight="1" x14ac:dyDescent="0.2">
      <c r="A351" s="10">
        <v>46187</v>
      </c>
      <c r="B351" s="56" t="s">
        <v>20</v>
      </c>
      <c r="C351" s="57"/>
      <c r="D351" s="74"/>
      <c r="E351" s="74"/>
      <c r="F351" s="20"/>
      <c r="G351" s="26"/>
      <c r="H351" s="8"/>
      <c r="I351" s="8"/>
      <c r="J351" s="29"/>
      <c r="K351" s="29"/>
      <c r="L351" s="29"/>
    </row>
    <row r="352" spans="1:12" ht="16.25" customHeight="1" x14ac:dyDescent="0.2">
      <c r="A352" s="10">
        <v>46188</v>
      </c>
      <c r="B352" s="56" t="s">
        <v>17</v>
      </c>
      <c r="C352" s="57"/>
      <c r="D352" s="74"/>
      <c r="E352" s="74"/>
      <c r="F352" s="20"/>
      <c r="G352" s="26"/>
      <c r="H352" s="8"/>
      <c r="I352" s="8"/>
      <c r="J352" s="29"/>
      <c r="K352" s="29"/>
      <c r="L352" s="29"/>
    </row>
    <row r="353" spans="1:12" ht="16.25" customHeight="1" x14ac:dyDescent="0.2">
      <c r="A353" s="46">
        <v>46189</v>
      </c>
      <c r="B353" s="66" t="s">
        <v>51</v>
      </c>
      <c r="C353" s="67" t="s">
        <v>119</v>
      </c>
      <c r="D353" s="80" t="s">
        <v>151</v>
      </c>
      <c r="E353" s="80"/>
      <c r="F353" s="48"/>
      <c r="G353" s="49"/>
      <c r="H353" s="50"/>
      <c r="I353" s="50"/>
      <c r="J353" s="51"/>
      <c r="K353" s="51"/>
      <c r="L353" s="51" t="s">
        <v>120</v>
      </c>
    </row>
    <row r="354" spans="1:12" ht="16.25" customHeight="1" x14ac:dyDescent="0.2">
      <c r="A354" s="7">
        <v>46190</v>
      </c>
      <c r="B354" s="58" t="s">
        <v>23</v>
      </c>
      <c r="C354" s="60" t="s">
        <v>121</v>
      </c>
      <c r="D354" s="76" t="s">
        <v>186</v>
      </c>
      <c r="E354" s="76"/>
      <c r="F354" s="21"/>
      <c r="G354" s="27"/>
      <c r="H354" s="5"/>
      <c r="I354" s="5"/>
      <c r="J354" s="29" t="s">
        <v>122</v>
      </c>
      <c r="K354" s="29" t="s">
        <v>123</v>
      </c>
      <c r="L354" s="29" t="s">
        <v>120</v>
      </c>
    </row>
    <row r="355" spans="1:12" ht="16.25" customHeight="1" x14ac:dyDescent="0.2">
      <c r="A355" s="7">
        <v>46191</v>
      </c>
      <c r="B355" s="58" t="s">
        <v>23</v>
      </c>
      <c r="C355" s="59" t="s">
        <v>124</v>
      </c>
      <c r="D355" s="75" t="s">
        <v>186</v>
      </c>
      <c r="E355" s="75"/>
      <c r="F355" s="21"/>
      <c r="G355" s="27"/>
      <c r="H355" s="5"/>
      <c r="I355" s="5"/>
      <c r="J355" s="29"/>
      <c r="K355" s="29" t="s">
        <v>125</v>
      </c>
      <c r="L355" s="29" t="s">
        <v>120</v>
      </c>
    </row>
    <row r="356" spans="1:12" ht="16.25" customHeight="1" x14ac:dyDescent="0.2">
      <c r="A356" s="7">
        <v>46192</v>
      </c>
      <c r="B356" s="58" t="s">
        <v>23</v>
      </c>
      <c r="C356" s="59" t="s">
        <v>126</v>
      </c>
      <c r="D356" s="75"/>
      <c r="E356" s="75"/>
      <c r="F356" s="21"/>
      <c r="G356" s="27"/>
      <c r="H356" s="5"/>
      <c r="I356" s="5"/>
      <c r="J356" s="29"/>
      <c r="K356" s="29" t="s">
        <v>127</v>
      </c>
      <c r="L356" s="29" t="s">
        <v>120</v>
      </c>
    </row>
    <row r="357" spans="1:12" ht="16.25" customHeight="1" x14ac:dyDescent="0.2">
      <c r="A357" s="10">
        <v>46193</v>
      </c>
      <c r="B357" s="56" t="s">
        <v>20</v>
      </c>
      <c r="C357" s="57"/>
      <c r="D357" s="74"/>
      <c r="E357" s="74"/>
      <c r="F357" s="20"/>
      <c r="G357" s="26"/>
      <c r="H357" s="8"/>
      <c r="I357" s="8"/>
      <c r="J357" s="29"/>
      <c r="K357" s="29"/>
      <c r="L357" s="29"/>
    </row>
    <row r="358" spans="1:12" ht="16.25" customHeight="1" x14ac:dyDescent="0.2">
      <c r="A358" s="10">
        <v>46194</v>
      </c>
      <c r="B358" s="56" t="s">
        <v>20</v>
      </c>
      <c r="C358" s="57"/>
      <c r="D358" s="74"/>
      <c r="E358" s="74"/>
      <c r="F358" s="20"/>
      <c r="G358" s="26"/>
      <c r="H358" s="8"/>
      <c r="I358" s="8"/>
      <c r="J358" s="29"/>
      <c r="K358" s="29"/>
      <c r="L358" s="29"/>
    </row>
    <row r="359" spans="1:12" ht="16.25" customHeight="1" x14ac:dyDescent="0.2">
      <c r="A359" s="7">
        <v>46195</v>
      </c>
      <c r="B359" s="58" t="s">
        <v>23</v>
      </c>
      <c r="C359" s="60" t="s">
        <v>124</v>
      </c>
      <c r="D359" s="76"/>
      <c r="E359" s="76"/>
      <c r="F359" s="21"/>
      <c r="G359" s="27"/>
      <c r="H359" s="5"/>
      <c r="I359" s="5"/>
      <c r="J359" s="29"/>
      <c r="K359" s="29"/>
      <c r="L359" s="29"/>
    </row>
    <row r="360" spans="1:12" ht="16.25" customHeight="1" x14ac:dyDescent="0.2">
      <c r="A360" s="7">
        <v>46196</v>
      </c>
      <c r="B360" s="58" t="s">
        <v>23</v>
      </c>
      <c r="C360" s="60" t="s">
        <v>124</v>
      </c>
      <c r="D360" s="76"/>
      <c r="E360" s="76"/>
      <c r="F360" s="21"/>
      <c r="G360" s="27"/>
      <c r="H360" s="5"/>
      <c r="I360" s="5"/>
      <c r="J360" s="29" t="s">
        <v>128</v>
      </c>
      <c r="K360" s="29"/>
      <c r="L360" s="29"/>
    </row>
    <row r="361" spans="1:12" ht="16.25" customHeight="1" x14ac:dyDescent="0.2">
      <c r="A361" s="7">
        <v>46197</v>
      </c>
      <c r="B361" s="58" t="s">
        <v>23</v>
      </c>
      <c r="C361" s="60" t="s">
        <v>124</v>
      </c>
      <c r="D361" s="76"/>
      <c r="E361" s="76"/>
      <c r="F361" s="21"/>
      <c r="G361" s="27"/>
      <c r="H361" s="5"/>
      <c r="I361" s="5"/>
      <c r="J361" s="29" t="s">
        <v>129</v>
      </c>
      <c r="K361" s="29"/>
      <c r="L361" s="29"/>
    </row>
    <row r="362" spans="1:12" ht="16.25" customHeight="1" x14ac:dyDescent="0.2">
      <c r="A362" s="7">
        <v>46198</v>
      </c>
      <c r="B362" s="58" t="s">
        <v>23</v>
      </c>
      <c r="C362" s="60" t="s">
        <v>124</v>
      </c>
      <c r="D362" s="76"/>
      <c r="E362" s="76"/>
      <c r="F362" s="21"/>
      <c r="G362" s="27"/>
      <c r="H362" s="5"/>
      <c r="I362" s="5"/>
      <c r="J362" s="29"/>
      <c r="K362" s="29"/>
      <c r="L362" s="29"/>
    </row>
    <row r="363" spans="1:12" ht="16.25" customHeight="1" x14ac:dyDescent="0.2">
      <c r="A363" s="7">
        <v>46199</v>
      </c>
      <c r="B363" s="58" t="s">
        <v>23</v>
      </c>
      <c r="C363" s="69" t="s">
        <v>130</v>
      </c>
      <c r="D363" s="76"/>
      <c r="E363" s="76"/>
      <c r="F363" s="21"/>
      <c r="G363" s="27"/>
      <c r="H363" s="5"/>
      <c r="I363" s="5"/>
      <c r="J363" s="29"/>
      <c r="K363" s="29"/>
      <c r="L363" s="29"/>
    </row>
    <row r="364" spans="1:12" ht="16.25" customHeight="1" x14ac:dyDescent="0.2">
      <c r="A364" s="10">
        <v>46200</v>
      </c>
      <c r="B364" s="56" t="s">
        <v>20</v>
      </c>
      <c r="C364" s="57"/>
      <c r="D364" s="74"/>
      <c r="E364" s="74"/>
      <c r="F364" s="20"/>
      <c r="G364" s="26"/>
      <c r="H364" s="8"/>
      <c r="I364" s="8"/>
      <c r="J364" s="29"/>
      <c r="K364" s="29"/>
      <c r="L364" s="29"/>
    </row>
    <row r="365" spans="1:12" ht="16.25" customHeight="1" x14ac:dyDescent="0.2">
      <c r="A365" s="10">
        <v>46201</v>
      </c>
      <c r="B365" s="56" t="s">
        <v>20</v>
      </c>
      <c r="C365" s="57"/>
      <c r="D365" s="74"/>
      <c r="E365" s="74"/>
      <c r="F365" s="20"/>
      <c r="G365" s="26"/>
      <c r="H365" s="8"/>
      <c r="I365" s="8"/>
      <c r="J365" s="29"/>
      <c r="K365" s="29"/>
      <c r="L365" s="29"/>
    </row>
    <row r="366" spans="1:12" ht="16.25" customHeight="1" x14ac:dyDescent="0.2">
      <c r="A366" s="10">
        <v>46202</v>
      </c>
      <c r="B366" s="56" t="s">
        <v>17</v>
      </c>
      <c r="C366" s="57"/>
      <c r="D366" s="74"/>
      <c r="E366" s="74"/>
      <c r="F366" s="20"/>
      <c r="G366" s="26"/>
      <c r="H366" s="8"/>
      <c r="I366" s="8"/>
      <c r="J366" s="29"/>
      <c r="K366" s="29"/>
      <c r="L366" s="29"/>
    </row>
    <row r="367" spans="1:12" ht="16.25" customHeight="1" x14ac:dyDescent="0.2">
      <c r="A367" s="7">
        <v>46203</v>
      </c>
      <c r="B367" s="58" t="s">
        <v>23</v>
      </c>
      <c r="C367" s="60" t="s">
        <v>129</v>
      </c>
      <c r="D367" s="76"/>
      <c r="E367" s="76"/>
      <c r="F367" s="21"/>
      <c r="G367" s="27"/>
      <c r="H367" s="5"/>
      <c r="I367" s="5"/>
      <c r="J367" s="29"/>
      <c r="K367" s="29"/>
      <c r="L367" s="29"/>
    </row>
    <row r="368" spans="1:12" ht="16.25" customHeight="1" x14ac:dyDescent="0.2">
      <c r="A368" s="7">
        <v>46204</v>
      </c>
      <c r="B368" s="58" t="s">
        <v>18</v>
      </c>
      <c r="C368" s="59" t="s">
        <v>19</v>
      </c>
      <c r="D368" s="75"/>
      <c r="E368" s="75"/>
      <c r="F368" s="21"/>
      <c r="G368" s="27"/>
      <c r="H368" s="5"/>
      <c r="I368" s="5"/>
      <c r="J368" s="29"/>
      <c r="K368" s="29"/>
      <c r="L368" s="29"/>
    </row>
    <row r="369" spans="1:12" ht="16.25" customHeight="1" x14ac:dyDescent="0.2">
      <c r="A369" s="7">
        <v>46205</v>
      </c>
      <c r="B369" s="58" t="s">
        <v>18</v>
      </c>
      <c r="C369" s="59" t="s">
        <v>19</v>
      </c>
      <c r="D369" s="75"/>
      <c r="E369" s="75"/>
      <c r="F369" s="21"/>
      <c r="G369" s="27"/>
      <c r="H369" s="5"/>
      <c r="I369" s="5"/>
      <c r="J369" s="29"/>
      <c r="K369" s="29"/>
      <c r="L369" s="29"/>
    </row>
    <row r="370" spans="1:12" ht="16.25" customHeight="1" x14ac:dyDescent="0.2">
      <c r="A370" s="7">
        <v>46206</v>
      </c>
      <c r="B370" s="58" t="s">
        <v>18</v>
      </c>
      <c r="C370" s="59" t="s">
        <v>19</v>
      </c>
      <c r="D370" s="75"/>
      <c r="E370" s="75"/>
      <c r="F370" s="21"/>
      <c r="G370" s="27"/>
      <c r="H370" s="5"/>
      <c r="I370" s="5"/>
      <c r="J370" s="29"/>
      <c r="K370" s="29"/>
      <c r="L370" s="29"/>
    </row>
    <row r="371" spans="1:12" ht="16.25" customHeight="1" x14ac:dyDescent="0.2">
      <c r="A371" s="10">
        <v>46207</v>
      </c>
      <c r="B371" s="56" t="s">
        <v>20</v>
      </c>
      <c r="C371" s="57"/>
      <c r="D371" s="74"/>
      <c r="E371" s="74"/>
      <c r="F371" s="20"/>
      <c r="G371" s="26"/>
      <c r="H371" s="8"/>
      <c r="I371" s="8"/>
      <c r="J371" s="29"/>
      <c r="K371" s="29"/>
      <c r="L371" s="29"/>
    </row>
    <row r="372" spans="1:12" ht="16.25" customHeight="1" x14ac:dyDescent="0.2">
      <c r="A372" s="10">
        <v>46208</v>
      </c>
      <c r="B372" s="56" t="s">
        <v>20</v>
      </c>
      <c r="C372" s="57"/>
      <c r="D372" s="74"/>
      <c r="E372" s="74"/>
      <c r="F372" s="20"/>
      <c r="G372" s="26"/>
      <c r="H372" s="8"/>
      <c r="I372" s="8"/>
      <c r="J372" s="29"/>
      <c r="K372" s="29"/>
      <c r="L372" s="29"/>
    </row>
    <row r="373" spans="1:12" ht="16.25" customHeight="1" x14ac:dyDescent="0.2">
      <c r="A373" s="7">
        <v>46209</v>
      </c>
      <c r="B373" s="58" t="s">
        <v>18</v>
      </c>
      <c r="C373" s="59" t="s">
        <v>19</v>
      </c>
      <c r="D373" s="75"/>
      <c r="E373" s="75"/>
      <c r="F373" s="21"/>
      <c r="G373" s="27"/>
      <c r="H373" s="5"/>
      <c r="I373" s="5"/>
      <c r="J373" s="29"/>
      <c r="K373" s="29"/>
      <c r="L373" s="29"/>
    </row>
    <row r="374" spans="1:12" ht="16.25" customHeight="1" x14ac:dyDescent="0.2">
      <c r="A374" s="7">
        <v>46210</v>
      </c>
      <c r="B374" s="58" t="s">
        <v>18</v>
      </c>
      <c r="C374" s="59" t="s">
        <v>19</v>
      </c>
      <c r="D374" s="75"/>
      <c r="E374" s="75"/>
      <c r="F374" s="21"/>
      <c r="G374" s="27"/>
      <c r="H374" s="5"/>
      <c r="I374" s="5"/>
      <c r="J374" s="29"/>
      <c r="K374" s="29"/>
      <c r="L374" s="29"/>
    </row>
    <row r="375" spans="1:12" ht="16.25" customHeight="1" x14ac:dyDescent="0.2">
      <c r="A375" s="7">
        <v>46211</v>
      </c>
      <c r="B375" s="58" t="s">
        <v>18</v>
      </c>
      <c r="C375" s="59" t="s">
        <v>19</v>
      </c>
      <c r="D375" s="75"/>
      <c r="E375" s="75"/>
      <c r="F375" s="21"/>
      <c r="G375" s="27"/>
      <c r="H375" s="5"/>
      <c r="I375" s="5"/>
      <c r="J375" s="29"/>
      <c r="K375" s="29"/>
      <c r="L375" s="29"/>
    </row>
    <row r="376" spans="1:12" ht="16.25" customHeight="1" x14ac:dyDescent="0.2">
      <c r="A376" s="7">
        <v>46212</v>
      </c>
      <c r="B376" s="58" t="s">
        <v>18</v>
      </c>
      <c r="C376" s="59" t="s">
        <v>19</v>
      </c>
      <c r="D376" s="75"/>
      <c r="E376" s="75"/>
      <c r="F376" s="21"/>
      <c r="G376" s="27"/>
      <c r="H376" s="5"/>
      <c r="I376" s="5"/>
      <c r="J376" s="29"/>
      <c r="K376" s="29"/>
      <c r="L376" s="29"/>
    </row>
    <row r="377" spans="1:12" ht="16.25" customHeight="1" x14ac:dyDescent="0.2">
      <c r="A377" s="7">
        <v>46213</v>
      </c>
      <c r="B377" s="58" t="s">
        <v>18</v>
      </c>
      <c r="C377" s="59" t="s">
        <v>19</v>
      </c>
      <c r="D377" s="75"/>
      <c r="E377" s="75"/>
      <c r="F377" s="21"/>
      <c r="G377" s="27"/>
      <c r="H377" s="5"/>
      <c r="I377" s="5"/>
      <c r="J377" s="29"/>
      <c r="K377" s="29"/>
      <c r="L377" s="29"/>
    </row>
    <row r="378" spans="1:12" ht="16.25" customHeight="1" x14ac:dyDescent="0.2">
      <c r="A378" s="10">
        <v>46214</v>
      </c>
      <c r="B378" s="56" t="s">
        <v>20</v>
      </c>
      <c r="C378" s="57"/>
      <c r="D378" s="74"/>
      <c r="E378" s="74"/>
      <c r="F378" s="20"/>
      <c r="G378" s="26"/>
      <c r="H378" s="8"/>
      <c r="I378" s="8"/>
      <c r="J378" s="29"/>
      <c r="K378" s="29"/>
      <c r="L378" s="29"/>
    </row>
    <row r="379" spans="1:12" ht="16.25" customHeight="1" x14ac:dyDescent="0.2">
      <c r="A379" s="10">
        <v>46215</v>
      </c>
      <c r="B379" s="56" t="s">
        <v>20</v>
      </c>
      <c r="C379" s="57"/>
      <c r="D379" s="74"/>
      <c r="E379" s="74"/>
      <c r="F379" s="20"/>
      <c r="G379" s="26"/>
      <c r="H379" s="8"/>
      <c r="I379" s="8"/>
      <c r="J379" s="29"/>
      <c r="K379" s="29"/>
      <c r="L379" s="29"/>
    </row>
    <row r="380" spans="1:12" ht="16.25" customHeight="1" x14ac:dyDescent="0.2">
      <c r="A380" s="7">
        <v>46216</v>
      </c>
      <c r="B380" s="58" t="s">
        <v>18</v>
      </c>
      <c r="C380" s="59" t="s">
        <v>19</v>
      </c>
      <c r="D380" s="75"/>
      <c r="E380" s="75"/>
      <c r="F380" s="21"/>
      <c r="G380" s="27"/>
      <c r="H380" s="5"/>
      <c r="I380" s="5"/>
      <c r="J380" s="29"/>
      <c r="K380" s="29"/>
      <c r="L380" s="29"/>
    </row>
    <row r="381" spans="1:12" ht="16.25" customHeight="1" x14ac:dyDescent="0.2">
      <c r="A381" s="7">
        <v>46217</v>
      </c>
      <c r="B381" s="58" t="s">
        <v>18</v>
      </c>
      <c r="C381" s="59" t="s">
        <v>19</v>
      </c>
      <c r="D381" s="75"/>
      <c r="E381" s="75"/>
      <c r="F381" s="21"/>
      <c r="G381" s="27"/>
      <c r="H381" s="5"/>
      <c r="I381" s="5"/>
      <c r="J381" s="29"/>
      <c r="K381" s="29"/>
      <c r="L381" s="29"/>
    </row>
    <row r="382" spans="1:12" ht="16.25" customHeight="1" x14ac:dyDescent="0.2">
      <c r="A382" s="7">
        <v>46218</v>
      </c>
      <c r="B382" s="58" t="s">
        <v>18</v>
      </c>
      <c r="C382" s="59" t="s">
        <v>19</v>
      </c>
      <c r="D382" s="75"/>
      <c r="E382" s="75"/>
      <c r="F382" s="21"/>
      <c r="G382" s="27"/>
      <c r="H382" s="5"/>
      <c r="I382" s="5"/>
      <c r="J382" s="29"/>
      <c r="K382" s="29"/>
      <c r="L382" s="29"/>
    </row>
    <row r="383" spans="1:12" ht="16.25" customHeight="1" x14ac:dyDescent="0.2">
      <c r="A383" s="7">
        <v>46219</v>
      </c>
      <c r="B383" s="58" t="s">
        <v>18</v>
      </c>
      <c r="C383" s="59" t="s">
        <v>19</v>
      </c>
      <c r="D383" s="75"/>
      <c r="E383" s="75"/>
      <c r="F383" s="21"/>
      <c r="G383" s="27"/>
      <c r="H383" s="5"/>
      <c r="I383" s="5"/>
      <c r="J383" s="29"/>
      <c r="K383" s="29"/>
      <c r="L383" s="29"/>
    </row>
    <row r="384" spans="1:12" ht="16.25" customHeight="1" x14ac:dyDescent="0.2">
      <c r="A384" s="7">
        <v>46220</v>
      </c>
      <c r="B384" s="58" t="s">
        <v>18</v>
      </c>
      <c r="C384" s="59" t="s">
        <v>19</v>
      </c>
      <c r="D384" s="75"/>
      <c r="E384" s="75"/>
      <c r="F384" s="21"/>
      <c r="G384" s="27"/>
      <c r="H384" s="5"/>
      <c r="I384" s="5"/>
      <c r="J384" s="29"/>
      <c r="K384" s="29"/>
      <c r="L384" s="29"/>
    </row>
    <row r="385" spans="1:12" ht="16.25" customHeight="1" x14ac:dyDescent="0.2">
      <c r="A385" s="10">
        <v>46221</v>
      </c>
      <c r="B385" s="56" t="s">
        <v>20</v>
      </c>
      <c r="C385" s="57"/>
      <c r="D385" s="74"/>
      <c r="E385" s="74"/>
      <c r="F385" s="20"/>
      <c r="G385" s="26"/>
      <c r="H385" s="8"/>
      <c r="I385" s="8"/>
      <c r="J385" s="29"/>
      <c r="K385" s="29"/>
      <c r="L385" s="29"/>
    </row>
    <row r="386" spans="1:12" ht="16.25" customHeight="1" x14ac:dyDescent="0.2">
      <c r="A386" s="10">
        <v>46222</v>
      </c>
      <c r="B386" s="56" t="s">
        <v>20</v>
      </c>
      <c r="C386" s="57"/>
      <c r="D386" s="74"/>
      <c r="E386" s="74"/>
      <c r="F386" s="20"/>
      <c r="G386" s="26"/>
      <c r="H386" s="8"/>
      <c r="I386" s="8"/>
      <c r="J386" s="29"/>
      <c r="K386" s="29"/>
      <c r="L386" s="29"/>
    </row>
    <row r="387" spans="1:12" ht="16.25" customHeight="1" x14ac:dyDescent="0.2">
      <c r="A387" s="10">
        <v>46223</v>
      </c>
      <c r="B387" s="56" t="s">
        <v>17</v>
      </c>
      <c r="C387" s="57"/>
      <c r="D387" s="74"/>
      <c r="E387" s="74"/>
      <c r="F387" s="20"/>
      <c r="G387" s="26"/>
      <c r="H387" s="8"/>
      <c r="I387" s="8"/>
      <c r="J387" s="29"/>
      <c r="K387" s="29"/>
      <c r="L387" s="29"/>
    </row>
    <row r="388" spans="1:12" ht="16.25" customHeight="1" x14ac:dyDescent="0.2">
      <c r="A388" s="7">
        <v>46224</v>
      </c>
      <c r="B388" s="58" t="s">
        <v>21</v>
      </c>
      <c r="C388" s="59" t="s">
        <v>22</v>
      </c>
      <c r="D388" s="75"/>
      <c r="E388" s="75"/>
      <c r="F388" s="21"/>
      <c r="G388" s="27"/>
      <c r="H388" s="5"/>
      <c r="I388" s="5"/>
      <c r="J388" s="29"/>
      <c r="K388" s="29"/>
      <c r="L388" s="29"/>
    </row>
    <row r="389" spans="1:12" ht="16.25" customHeight="1" x14ac:dyDescent="0.2">
      <c r="A389" s="7">
        <v>46225</v>
      </c>
      <c r="B389" s="58" t="s">
        <v>21</v>
      </c>
      <c r="C389" s="60"/>
      <c r="D389" s="76"/>
      <c r="E389" s="76"/>
      <c r="F389" s="21"/>
      <c r="G389" s="27"/>
      <c r="H389" s="5"/>
      <c r="I389" s="5"/>
      <c r="J389" s="29"/>
      <c r="K389" s="29"/>
      <c r="L389" s="29"/>
    </row>
    <row r="390" spans="1:12" ht="16.25" customHeight="1" x14ac:dyDescent="0.2">
      <c r="A390" s="7">
        <v>46226</v>
      </c>
      <c r="B390" s="58" t="s">
        <v>21</v>
      </c>
      <c r="C390" s="60"/>
      <c r="D390" s="76"/>
      <c r="E390" s="76"/>
      <c r="F390" s="21"/>
      <c r="G390" s="27"/>
      <c r="H390" s="5"/>
      <c r="I390" s="5"/>
      <c r="J390" s="29"/>
      <c r="K390" s="29"/>
      <c r="L390" s="29"/>
    </row>
    <row r="391" spans="1:12" ht="16.25" customHeight="1" x14ac:dyDescent="0.2">
      <c r="A391" s="7">
        <v>46227</v>
      </c>
      <c r="B391" s="58" t="s">
        <v>21</v>
      </c>
      <c r="C391" s="60"/>
      <c r="D391" s="76"/>
      <c r="E391" s="76"/>
      <c r="F391" s="21"/>
      <c r="G391" s="27"/>
      <c r="H391" s="5"/>
      <c r="I391" s="5"/>
      <c r="J391" s="29"/>
      <c r="K391" s="29"/>
      <c r="L391" s="29"/>
    </row>
    <row r="392" spans="1:12" ht="16.25" customHeight="1" x14ac:dyDescent="0.2">
      <c r="A392" s="10">
        <v>46228</v>
      </c>
      <c r="B392" s="56" t="s">
        <v>20</v>
      </c>
      <c r="C392" s="57"/>
      <c r="D392" s="74"/>
      <c r="E392" s="74"/>
      <c r="F392" s="20"/>
      <c r="G392" s="26"/>
      <c r="H392" s="8"/>
      <c r="I392" s="8"/>
      <c r="J392" s="29"/>
      <c r="K392" s="29"/>
      <c r="L392" s="29"/>
    </row>
    <row r="393" spans="1:12" ht="16.25" customHeight="1" x14ac:dyDescent="0.2">
      <c r="A393" s="10">
        <v>46229</v>
      </c>
      <c r="B393" s="56" t="s">
        <v>20</v>
      </c>
      <c r="C393" s="57"/>
      <c r="D393" s="74"/>
      <c r="E393" s="74"/>
      <c r="F393" s="20"/>
      <c r="G393" s="26"/>
      <c r="H393" s="8"/>
      <c r="I393" s="8"/>
      <c r="J393" s="29"/>
      <c r="K393" s="29"/>
      <c r="L393" s="29"/>
    </row>
    <row r="394" spans="1:12" ht="16.25" customHeight="1" x14ac:dyDescent="0.2">
      <c r="A394" s="7">
        <v>46230</v>
      </c>
      <c r="B394" s="58" t="s">
        <v>21</v>
      </c>
      <c r="C394" s="60" t="s">
        <v>24</v>
      </c>
      <c r="D394" s="76"/>
      <c r="E394" s="76"/>
      <c r="F394" s="21"/>
      <c r="G394" s="27"/>
      <c r="H394" s="5"/>
      <c r="I394" s="5"/>
      <c r="J394" s="29"/>
      <c r="K394" s="29"/>
      <c r="L394" s="29"/>
    </row>
    <row r="395" spans="1:12" ht="16.25" customHeight="1" x14ac:dyDescent="0.2">
      <c r="A395" s="7">
        <v>46231</v>
      </c>
      <c r="B395" s="58" t="s">
        <v>21</v>
      </c>
      <c r="C395" s="60"/>
      <c r="D395" s="76"/>
      <c r="E395" s="76"/>
      <c r="F395" s="21"/>
      <c r="G395" s="27"/>
      <c r="H395" s="5"/>
      <c r="I395" s="5"/>
      <c r="J395" s="29"/>
      <c r="K395" s="29"/>
      <c r="L395" s="29"/>
    </row>
    <row r="396" spans="1:12" ht="16.25" customHeight="1" x14ac:dyDescent="0.2">
      <c r="A396" s="7">
        <v>46232</v>
      </c>
      <c r="B396" s="58" t="s">
        <v>21</v>
      </c>
      <c r="C396" s="60" t="s">
        <v>25</v>
      </c>
      <c r="D396" s="76"/>
      <c r="E396" s="76"/>
      <c r="F396" s="21"/>
      <c r="G396" s="27"/>
      <c r="H396" s="5"/>
      <c r="I396" s="5"/>
      <c r="J396" s="29"/>
      <c r="K396" s="29"/>
      <c r="L396" s="29"/>
    </row>
    <row r="397" spans="1:12" ht="16.25" customHeight="1" x14ac:dyDescent="0.2">
      <c r="A397" s="7">
        <v>46233</v>
      </c>
      <c r="B397" s="58" t="s">
        <v>21</v>
      </c>
      <c r="C397" s="60"/>
      <c r="D397" s="76"/>
      <c r="E397" s="76"/>
      <c r="F397" s="21"/>
      <c r="G397" s="27"/>
      <c r="H397" s="5"/>
      <c r="I397" s="5"/>
      <c r="J397" s="29"/>
      <c r="K397" s="29"/>
      <c r="L397" s="29"/>
    </row>
    <row r="398" spans="1:12" ht="16.25" customHeight="1" x14ac:dyDescent="0.2">
      <c r="A398" s="7">
        <v>46234</v>
      </c>
      <c r="B398" s="58" t="s">
        <v>21</v>
      </c>
      <c r="C398" s="60"/>
      <c r="D398" s="76"/>
      <c r="E398" s="76"/>
      <c r="F398" s="21"/>
      <c r="G398" s="27"/>
      <c r="H398" s="5"/>
      <c r="I398" s="5"/>
      <c r="J398" s="29"/>
      <c r="K398" s="29"/>
      <c r="L398" s="29"/>
    </row>
    <row r="399" spans="1:12" ht="16.25" customHeight="1" x14ac:dyDescent="0.2">
      <c r="A399" s="10">
        <v>46235</v>
      </c>
      <c r="B399" s="56" t="s">
        <v>20</v>
      </c>
      <c r="C399" s="71"/>
      <c r="D399" s="81"/>
      <c r="E399" s="81"/>
      <c r="F399" s="35"/>
      <c r="G399" s="26"/>
      <c r="H399" s="8"/>
      <c r="I399" s="8"/>
      <c r="J399" s="36"/>
      <c r="K399" s="36"/>
      <c r="L399" s="36"/>
    </row>
    <row r="400" spans="1:12" ht="16.25" customHeight="1" x14ac:dyDescent="0.2">
      <c r="A400" s="10">
        <v>46236</v>
      </c>
      <c r="B400" s="56" t="s">
        <v>20</v>
      </c>
      <c r="C400" s="71"/>
      <c r="D400" s="81"/>
      <c r="E400" s="81"/>
      <c r="F400" s="35"/>
      <c r="G400" s="26"/>
      <c r="H400" s="8"/>
      <c r="I400" s="8"/>
      <c r="J400" s="36"/>
      <c r="K400" s="36"/>
      <c r="L400" s="36"/>
    </row>
    <row r="401" spans="1:12" ht="16.25" customHeight="1" x14ac:dyDescent="0.2">
      <c r="A401" s="7">
        <v>46237</v>
      </c>
      <c r="B401" s="58" t="s">
        <v>23</v>
      </c>
      <c r="C401" s="69"/>
      <c r="D401" s="82"/>
      <c r="E401" s="82"/>
      <c r="F401" s="31"/>
      <c r="G401" s="27"/>
      <c r="H401" s="5"/>
      <c r="I401" s="5"/>
      <c r="J401" s="29"/>
      <c r="K401" s="29"/>
      <c r="L401" s="29"/>
    </row>
    <row r="402" spans="1:12" ht="16.25" customHeight="1" x14ac:dyDescent="0.2">
      <c r="A402" s="7">
        <v>46238</v>
      </c>
      <c r="B402" s="58"/>
      <c r="C402" s="69"/>
      <c r="D402" s="82"/>
      <c r="E402" s="82"/>
      <c r="F402" s="31"/>
      <c r="G402" s="27"/>
      <c r="H402" s="5"/>
      <c r="I402" s="5"/>
      <c r="J402" s="29"/>
      <c r="K402" s="29"/>
      <c r="L402" s="29"/>
    </row>
    <row r="403" spans="1:12" ht="16.25" customHeight="1" x14ac:dyDescent="0.2">
      <c r="A403" s="7">
        <v>46239</v>
      </c>
      <c r="B403" s="58"/>
      <c r="C403" s="69"/>
      <c r="D403" s="82"/>
      <c r="E403" s="82"/>
      <c r="F403" s="31"/>
      <c r="G403" s="27"/>
      <c r="H403" s="5"/>
      <c r="I403" s="5"/>
      <c r="J403" s="29"/>
      <c r="K403" s="29"/>
      <c r="L403" s="29"/>
    </row>
    <row r="404" spans="1:12" ht="16.25" customHeight="1" x14ac:dyDescent="0.2">
      <c r="A404" s="7">
        <v>46240</v>
      </c>
      <c r="B404" s="58"/>
      <c r="C404" s="69"/>
      <c r="D404" s="82"/>
      <c r="E404" s="82"/>
      <c r="F404" s="31"/>
      <c r="G404" s="27"/>
      <c r="H404" s="5"/>
      <c r="I404" s="5"/>
      <c r="J404" s="29"/>
      <c r="K404" s="29"/>
      <c r="L404" s="29"/>
    </row>
    <row r="405" spans="1:12" ht="16.25" customHeight="1" x14ac:dyDescent="0.2">
      <c r="A405" s="10">
        <v>46241</v>
      </c>
      <c r="B405" s="56" t="s">
        <v>17</v>
      </c>
      <c r="C405" s="71"/>
      <c r="D405" s="81"/>
      <c r="E405" s="81"/>
      <c r="F405" s="35"/>
      <c r="G405" s="26"/>
      <c r="H405" s="8"/>
      <c r="I405" s="8"/>
      <c r="J405" s="36"/>
      <c r="K405" s="36"/>
      <c r="L405" s="36"/>
    </row>
    <row r="406" spans="1:12" ht="16.25" customHeight="1" x14ac:dyDescent="0.2">
      <c r="A406" s="10">
        <v>46242</v>
      </c>
      <c r="B406" s="56" t="s">
        <v>20</v>
      </c>
      <c r="C406" s="71"/>
      <c r="D406" s="81"/>
      <c r="E406" s="81"/>
      <c r="F406" s="35"/>
      <c r="G406" s="26"/>
      <c r="H406" s="8"/>
      <c r="I406" s="8"/>
      <c r="J406" s="36"/>
      <c r="K406" s="36"/>
      <c r="L406" s="36"/>
    </row>
    <row r="407" spans="1:12" ht="16.25" customHeight="1" x14ac:dyDescent="0.2">
      <c r="A407" s="10">
        <v>46243</v>
      </c>
      <c r="B407" s="56" t="s">
        <v>20</v>
      </c>
      <c r="C407" s="71"/>
      <c r="D407" s="81"/>
      <c r="E407" s="81"/>
      <c r="F407" s="35"/>
      <c r="G407" s="26"/>
      <c r="H407" s="8"/>
      <c r="I407" s="8"/>
      <c r="J407" s="36"/>
      <c r="K407" s="36"/>
      <c r="L407" s="36"/>
    </row>
    <row r="408" spans="1:12" ht="16.25" customHeight="1" x14ac:dyDescent="0.2">
      <c r="A408" s="7">
        <v>46244</v>
      </c>
      <c r="B408" s="58"/>
      <c r="C408" s="69"/>
      <c r="D408" s="82"/>
      <c r="E408" s="82"/>
      <c r="F408" s="31"/>
      <c r="G408" s="27"/>
      <c r="H408" s="5"/>
      <c r="I408" s="5"/>
      <c r="J408" s="29"/>
      <c r="K408" s="29"/>
      <c r="L408" s="29"/>
    </row>
  </sheetData>
  <sheetProtection sheet="1" objects="1" scenarios="1" sort="0" autoFilter="0"/>
  <conditionalFormatting sqref="A2:A408">
    <cfRule type="expression" dxfId="4" priority="1">
      <formula>WEEKDAY(A2,2)&gt;5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EFB9-C0A3-43AA-A52E-52FBB8E4A6EC}">
  <dimension ref="A1:P408"/>
  <sheetViews>
    <sheetView zoomScale="99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56" sqref="D256:D258"/>
    </sheetView>
  </sheetViews>
  <sheetFormatPr baseColWidth="10" defaultColWidth="8.5" defaultRowHeight="16.25" customHeight="1" x14ac:dyDescent="0.2"/>
  <cols>
    <col min="1" max="1" width="31.5" style="4" customWidth="1"/>
    <col min="2" max="2" width="8.5" style="2" customWidth="1"/>
    <col min="3" max="3" width="25.5" style="72" customWidth="1"/>
    <col min="4" max="5" width="52" style="3" customWidth="1"/>
    <col min="6" max="6" width="4.83203125" style="72" customWidth="1"/>
    <col min="7" max="7" width="4.83203125" style="2" customWidth="1"/>
    <col min="8" max="9" width="7.5" style="2" hidden="1" customWidth="1"/>
    <col min="10" max="10" width="17.5" style="2" hidden="1" customWidth="1"/>
    <col min="11" max="12" width="17.5" hidden="1" customWidth="1"/>
    <col min="13" max="16" width="20.83203125" customWidth="1"/>
    <col min="17" max="28" width="20.83203125" style="1" customWidth="1"/>
    <col min="29" max="16384" width="8.5" style="1"/>
  </cols>
  <sheetData>
    <row r="1" spans="1:16" s="11" customFormat="1" ht="36.5" customHeight="1" x14ac:dyDescent="0.3">
      <c r="A1" s="15" t="s">
        <v>0</v>
      </c>
      <c r="B1" s="54" t="s">
        <v>1</v>
      </c>
      <c r="C1" s="55" t="s">
        <v>131</v>
      </c>
      <c r="D1" s="30" t="s">
        <v>187</v>
      </c>
      <c r="E1" s="30" t="s">
        <v>188</v>
      </c>
      <c r="F1" s="73" t="s">
        <v>10</v>
      </c>
      <c r="G1" s="73" t="s">
        <v>11</v>
      </c>
      <c r="H1" s="12" t="s">
        <v>12</v>
      </c>
      <c r="I1" s="12" t="s">
        <v>13</v>
      </c>
      <c r="J1" s="30" t="s">
        <v>14</v>
      </c>
      <c r="K1" s="30" t="s">
        <v>15</v>
      </c>
      <c r="L1" s="30" t="s">
        <v>16</v>
      </c>
    </row>
    <row r="2" spans="1:16" ht="16.25" customHeight="1" x14ac:dyDescent="0.2">
      <c r="A2" s="10">
        <v>45838</v>
      </c>
      <c r="B2" s="56" t="s">
        <v>17</v>
      </c>
      <c r="C2" s="57"/>
      <c r="D2" s="74"/>
      <c r="E2" s="74"/>
      <c r="F2" s="20"/>
      <c r="G2" s="26"/>
      <c r="H2" s="8"/>
      <c r="I2" s="8"/>
      <c r="J2" s="29"/>
      <c r="K2" s="29"/>
      <c r="L2" s="29"/>
      <c r="P2" s="1"/>
    </row>
    <row r="3" spans="1:16" ht="16.25" customHeight="1" x14ac:dyDescent="0.2">
      <c r="A3" s="7">
        <v>45839</v>
      </c>
      <c r="B3" s="58" t="s">
        <v>18</v>
      </c>
      <c r="C3" s="59" t="s">
        <v>19</v>
      </c>
      <c r="D3" s="75"/>
      <c r="E3" s="75"/>
      <c r="F3" s="21"/>
      <c r="G3" s="27"/>
      <c r="H3" s="5"/>
      <c r="I3" s="5"/>
      <c r="J3" s="29"/>
      <c r="K3" s="29"/>
      <c r="L3" s="29"/>
      <c r="P3" s="1"/>
    </row>
    <row r="4" spans="1:16" ht="16.25" customHeight="1" x14ac:dyDescent="0.2">
      <c r="A4" s="7">
        <v>45840</v>
      </c>
      <c r="B4" s="58" t="s">
        <v>18</v>
      </c>
      <c r="C4" s="59" t="s">
        <v>19</v>
      </c>
      <c r="D4" s="75"/>
      <c r="E4" s="75"/>
      <c r="F4" s="21"/>
      <c r="G4" s="27"/>
      <c r="H4" s="5"/>
      <c r="I4" s="5"/>
      <c r="J4" s="29"/>
      <c r="K4" s="29"/>
      <c r="L4" s="29"/>
      <c r="P4" s="1"/>
    </row>
    <row r="5" spans="1:16" ht="16.25" customHeight="1" x14ac:dyDescent="0.2">
      <c r="A5" s="7">
        <v>45841</v>
      </c>
      <c r="B5" s="58" t="s">
        <v>18</v>
      </c>
      <c r="C5" s="59" t="s">
        <v>19</v>
      </c>
      <c r="D5" s="75"/>
      <c r="E5" s="75"/>
      <c r="F5" s="21"/>
      <c r="G5" s="27"/>
      <c r="H5" s="5"/>
      <c r="I5" s="5"/>
      <c r="J5" s="29"/>
      <c r="K5" s="29"/>
      <c r="L5" s="29"/>
      <c r="P5" s="1"/>
    </row>
    <row r="6" spans="1:16" ht="16.25" customHeight="1" x14ac:dyDescent="0.2">
      <c r="A6" s="7">
        <v>45842</v>
      </c>
      <c r="B6" s="58" t="s">
        <v>18</v>
      </c>
      <c r="C6" s="59" t="s">
        <v>19</v>
      </c>
      <c r="D6" s="75"/>
      <c r="E6" s="75"/>
      <c r="F6" s="21"/>
      <c r="G6" s="27"/>
      <c r="H6" s="5"/>
      <c r="I6" s="5"/>
      <c r="J6" s="29"/>
      <c r="K6" s="29"/>
      <c r="L6" s="29"/>
      <c r="P6" s="1"/>
    </row>
    <row r="7" spans="1:16" ht="16.25" customHeight="1" x14ac:dyDescent="0.2">
      <c r="A7" s="10">
        <v>45843</v>
      </c>
      <c r="B7" s="56" t="s">
        <v>20</v>
      </c>
      <c r="C7" s="57"/>
      <c r="D7" s="74"/>
      <c r="E7" s="74"/>
      <c r="F7" s="20"/>
      <c r="G7" s="26"/>
      <c r="H7" s="8"/>
      <c r="I7" s="8"/>
      <c r="J7" s="29"/>
      <c r="K7" s="29"/>
      <c r="L7" s="29"/>
      <c r="P7" s="1"/>
    </row>
    <row r="8" spans="1:16" ht="16.25" customHeight="1" x14ac:dyDescent="0.2">
      <c r="A8" s="10">
        <v>45844</v>
      </c>
      <c r="B8" s="56" t="s">
        <v>20</v>
      </c>
      <c r="C8" s="57"/>
      <c r="D8" s="74"/>
      <c r="E8" s="74"/>
      <c r="F8" s="20"/>
      <c r="G8" s="26"/>
      <c r="H8" s="8"/>
      <c r="I8" s="8"/>
      <c r="J8" s="29"/>
      <c r="K8" s="29"/>
      <c r="L8" s="29"/>
      <c r="P8" s="1"/>
    </row>
    <row r="9" spans="1:16" ht="16.25" customHeight="1" x14ac:dyDescent="0.2">
      <c r="A9" s="7">
        <v>45845</v>
      </c>
      <c r="B9" s="58" t="s">
        <v>18</v>
      </c>
      <c r="C9" s="59" t="s">
        <v>19</v>
      </c>
      <c r="D9" s="75"/>
      <c r="E9" s="75"/>
      <c r="F9" s="21"/>
      <c r="G9" s="27"/>
      <c r="H9" s="5"/>
      <c r="I9" s="5"/>
      <c r="J9" s="29"/>
      <c r="K9" s="29"/>
      <c r="L9" s="29"/>
      <c r="P9" s="1"/>
    </row>
    <row r="10" spans="1:16" ht="16.25" customHeight="1" x14ac:dyDescent="0.2">
      <c r="A10" s="7">
        <v>45846</v>
      </c>
      <c r="B10" s="58" t="s">
        <v>18</v>
      </c>
      <c r="C10" s="59" t="s">
        <v>19</v>
      </c>
      <c r="D10" s="75"/>
      <c r="E10" s="75"/>
      <c r="F10" s="21"/>
      <c r="G10" s="27"/>
      <c r="H10" s="5"/>
      <c r="I10" s="5"/>
      <c r="J10" s="29"/>
      <c r="K10" s="29"/>
      <c r="L10" s="29"/>
      <c r="P10" s="1"/>
    </row>
    <row r="11" spans="1:16" ht="16.25" customHeight="1" x14ac:dyDescent="0.2">
      <c r="A11" s="7">
        <v>45847</v>
      </c>
      <c r="B11" s="58" t="s">
        <v>18</v>
      </c>
      <c r="C11" s="59" t="s">
        <v>19</v>
      </c>
      <c r="D11" s="75"/>
      <c r="E11" s="75"/>
      <c r="F11" s="21"/>
      <c r="G11" s="27"/>
      <c r="H11" s="5"/>
      <c r="I11" s="5"/>
      <c r="J11" s="29"/>
      <c r="K11" s="29"/>
      <c r="L11" s="29"/>
      <c r="P11" s="1"/>
    </row>
    <row r="12" spans="1:16" ht="16.25" customHeight="1" x14ac:dyDescent="0.2">
      <c r="A12" s="7">
        <v>45848</v>
      </c>
      <c r="B12" s="58" t="s">
        <v>18</v>
      </c>
      <c r="C12" s="59" t="s">
        <v>19</v>
      </c>
      <c r="D12" s="75"/>
      <c r="E12" s="75"/>
      <c r="F12" s="21"/>
      <c r="G12" s="27"/>
      <c r="H12" s="5"/>
      <c r="I12" s="5"/>
      <c r="J12" s="29"/>
      <c r="K12" s="29"/>
      <c r="L12" s="29"/>
      <c r="P12" s="1"/>
    </row>
    <row r="13" spans="1:16" ht="16.25" customHeight="1" x14ac:dyDescent="0.2">
      <c r="A13" s="7">
        <v>45849</v>
      </c>
      <c r="B13" s="58" t="s">
        <v>18</v>
      </c>
      <c r="C13" s="59" t="s">
        <v>19</v>
      </c>
      <c r="D13" s="75"/>
      <c r="E13" s="75"/>
      <c r="F13" s="21"/>
      <c r="G13" s="27"/>
      <c r="H13" s="5"/>
      <c r="I13" s="5"/>
      <c r="J13" s="29"/>
      <c r="K13" s="29"/>
      <c r="L13" s="29"/>
      <c r="P13" s="1"/>
    </row>
    <row r="14" spans="1:16" ht="16.25" customHeight="1" x14ac:dyDescent="0.2">
      <c r="A14" s="10">
        <v>45850</v>
      </c>
      <c r="B14" s="56" t="s">
        <v>20</v>
      </c>
      <c r="C14" s="57"/>
      <c r="D14" s="74"/>
      <c r="E14" s="74"/>
      <c r="F14" s="20"/>
      <c r="G14" s="26"/>
      <c r="H14" s="8"/>
      <c r="I14" s="8"/>
      <c r="J14" s="29"/>
      <c r="K14" s="29"/>
      <c r="L14" s="29"/>
      <c r="P14" s="1"/>
    </row>
    <row r="15" spans="1:16" ht="16.25" customHeight="1" x14ac:dyDescent="0.2">
      <c r="A15" s="10">
        <v>45851</v>
      </c>
      <c r="B15" s="56" t="s">
        <v>20</v>
      </c>
      <c r="C15" s="57"/>
      <c r="D15" s="74"/>
      <c r="E15" s="74"/>
      <c r="F15" s="20"/>
      <c r="G15" s="26"/>
      <c r="H15" s="8"/>
      <c r="I15" s="8"/>
      <c r="J15" s="29"/>
      <c r="K15" s="29"/>
      <c r="L15" s="29"/>
      <c r="P15" s="1"/>
    </row>
    <row r="16" spans="1:16" ht="16.25" customHeight="1" x14ac:dyDescent="0.2">
      <c r="A16" s="7">
        <v>45852</v>
      </c>
      <c r="B16" s="58" t="s">
        <v>18</v>
      </c>
      <c r="C16" s="59" t="s">
        <v>19</v>
      </c>
      <c r="D16" s="75"/>
      <c r="E16" s="75"/>
      <c r="F16" s="21"/>
      <c r="G16" s="27"/>
      <c r="H16" s="5"/>
      <c r="I16" s="5"/>
      <c r="J16" s="29"/>
      <c r="K16" s="29"/>
      <c r="L16" s="29"/>
      <c r="P16" s="1"/>
    </row>
    <row r="17" spans="1:16" ht="16.25" customHeight="1" x14ac:dyDescent="0.2">
      <c r="A17" s="7">
        <v>45853</v>
      </c>
      <c r="B17" s="58" t="s">
        <v>18</v>
      </c>
      <c r="C17" s="59" t="s">
        <v>19</v>
      </c>
      <c r="D17" s="75"/>
      <c r="E17" s="75"/>
      <c r="F17" s="21"/>
      <c r="G17" s="27"/>
      <c r="H17" s="5"/>
      <c r="I17" s="5"/>
      <c r="J17" s="29"/>
      <c r="K17" s="29"/>
      <c r="L17" s="29"/>
      <c r="P17" s="1"/>
    </row>
    <row r="18" spans="1:16" ht="16.25" customHeight="1" x14ac:dyDescent="0.2">
      <c r="A18" s="7">
        <v>45854</v>
      </c>
      <c r="B18" s="58" t="s">
        <v>18</v>
      </c>
      <c r="C18" s="59" t="s">
        <v>19</v>
      </c>
      <c r="D18" s="75"/>
      <c r="E18" s="75"/>
      <c r="F18" s="21"/>
      <c r="G18" s="27"/>
      <c r="H18" s="5"/>
      <c r="I18" s="5"/>
      <c r="J18" s="29"/>
      <c r="K18" s="29"/>
      <c r="L18" s="29"/>
      <c r="P18" s="1"/>
    </row>
    <row r="19" spans="1:16" ht="16.25" customHeight="1" x14ac:dyDescent="0.2">
      <c r="A19" s="7">
        <v>45855</v>
      </c>
      <c r="B19" s="58" t="s">
        <v>18</v>
      </c>
      <c r="C19" s="59" t="s">
        <v>19</v>
      </c>
      <c r="D19" s="75"/>
      <c r="E19" s="75"/>
      <c r="F19" s="21"/>
      <c r="G19" s="27"/>
      <c r="H19" s="5"/>
      <c r="I19" s="5"/>
      <c r="J19" s="29"/>
      <c r="K19" s="29"/>
      <c r="L19" s="29"/>
      <c r="P19" s="1"/>
    </row>
    <row r="20" spans="1:16" ht="16.25" customHeight="1" x14ac:dyDescent="0.2">
      <c r="A20" s="7">
        <v>45856</v>
      </c>
      <c r="B20" s="58" t="s">
        <v>18</v>
      </c>
      <c r="C20" s="59" t="s">
        <v>19</v>
      </c>
      <c r="D20" s="75"/>
      <c r="E20" s="75"/>
      <c r="F20" s="21"/>
      <c r="G20" s="27"/>
      <c r="H20" s="5"/>
      <c r="I20" s="5"/>
      <c r="J20" s="29"/>
      <c r="K20" s="29"/>
      <c r="L20" s="29"/>
      <c r="P20" s="1"/>
    </row>
    <row r="21" spans="1:16" ht="16.25" customHeight="1" x14ac:dyDescent="0.2">
      <c r="A21" s="10">
        <v>45857</v>
      </c>
      <c r="B21" s="56" t="s">
        <v>20</v>
      </c>
      <c r="C21" s="57"/>
      <c r="D21" s="74"/>
      <c r="E21" s="74"/>
      <c r="F21" s="20"/>
      <c r="G21" s="26"/>
      <c r="H21" s="8"/>
      <c r="I21" s="8"/>
      <c r="J21" s="29"/>
      <c r="K21" s="29"/>
      <c r="L21" s="29"/>
      <c r="P21" s="1"/>
    </row>
    <row r="22" spans="1:16" ht="16.25" customHeight="1" x14ac:dyDescent="0.2">
      <c r="A22" s="10">
        <v>45858</v>
      </c>
      <c r="B22" s="56" t="s">
        <v>17</v>
      </c>
      <c r="C22" s="57"/>
      <c r="D22" s="74"/>
      <c r="E22" s="74"/>
      <c r="F22" s="20"/>
      <c r="G22" s="26"/>
      <c r="H22" s="8"/>
      <c r="I22" s="8"/>
      <c r="J22" s="29"/>
      <c r="K22" s="29"/>
      <c r="L22" s="29"/>
      <c r="P22" s="1"/>
    </row>
    <row r="23" spans="1:16" ht="16.25" customHeight="1" x14ac:dyDescent="0.2">
      <c r="A23" s="7">
        <v>45859</v>
      </c>
      <c r="B23" s="58" t="s">
        <v>21</v>
      </c>
      <c r="C23" s="60" t="s">
        <v>22</v>
      </c>
      <c r="D23" s="76"/>
      <c r="E23" s="76"/>
      <c r="F23" s="21"/>
      <c r="G23" s="27"/>
      <c r="H23" s="5"/>
      <c r="I23" s="5"/>
      <c r="J23" s="29"/>
      <c r="K23" s="29"/>
      <c r="L23" s="29"/>
      <c r="P23" s="1"/>
    </row>
    <row r="24" spans="1:16" ht="16.25" customHeight="1" x14ac:dyDescent="0.2">
      <c r="A24" s="7">
        <v>45860</v>
      </c>
      <c r="B24" s="58" t="s">
        <v>21</v>
      </c>
      <c r="C24" s="60"/>
      <c r="D24" s="76"/>
      <c r="E24" s="76"/>
      <c r="F24" s="21"/>
      <c r="G24" s="27"/>
      <c r="H24" s="5"/>
      <c r="I24" s="5"/>
      <c r="J24" s="29"/>
      <c r="K24" s="29"/>
      <c r="L24" s="29"/>
      <c r="P24" s="1"/>
    </row>
    <row r="25" spans="1:16" ht="16.25" customHeight="1" x14ac:dyDescent="0.2">
      <c r="A25" s="7">
        <v>45861</v>
      </c>
      <c r="B25" s="58" t="s">
        <v>21</v>
      </c>
      <c r="C25" s="60"/>
      <c r="D25" s="76"/>
      <c r="E25" s="76"/>
      <c r="F25" s="21"/>
      <c r="G25" s="27"/>
      <c r="H25" s="5"/>
      <c r="I25" s="5"/>
      <c r="J25" s="29"/>
      <c r="K25" s="29"/>
      <c r="L25" s="29"/>
      <c r="P25" s="1"/>
    </row>
    <row r="26" spans="1:16" ht="16.25" customHeight="1" x14ac:dyDescent="0.2">
      <c r="A26" s="7">
        <v>45862</v>
      </c>
      <c r="B26" s="58" t="s">
        <v>21</v>
      </c>
      <c r="C26" s="60"/>
      <c r="D26" s="76"/>
      <c r="E26" s="76"/>
      <c r="F26" s="21"/>
      <c r="G26" s="27"/>
      <c r="H26" s="5"/>
      <c r="I26" s="5"/>
      <c r="J26" s="29"/>
      <c r="K26" s="29"/>
      <c r="L26" s="29"/>
      <c r="P26" s="1"/>
    </row>
    <row r="27" spans="1:16" ht="16.25" customHeight="1" x14ac:dyDescent="0.2">
      <c r="A27" s="7">
        <v>45863</v>
      </c>
      <c r="B27" s="58" t="s">
        <v>21</v>
      </c>
      <c r="C27" s="60"/>
      <c r="D27" s="76"/>
      <c r="E27" s="76"/>
      <c r="F27" s="21"/>
      <c r="G27" s="27"/>
      <c r="H27" s="5"/>
      <c r="I27" s="5"/>
      <c r="J27" s="29"/>
      <c r="K27" s="29"/>
      <c r="L27" s="29"/>
      <c r="P27" s="1"/>
    </row>
    <row r="28" spans="1:16" ht="16.25" customHeight="1" x14ac:dyDescent="0.2">
      <c r="A28" s="10">
        <v>45864</v>
      </c>
      <c r="B28" s="56" t="s">
        <v>20</v>
      </c>
      <c r="C28" s="57"/>
      <c r="D28" s="74"/>
      <c r="E28" s="74"/>
      <c r="F28" s="20"/>
      <c r="G28" s="26"/>
      <c r="H28" s="8"/>
      <c r="I28" s="8"/>
      <c r="J28" s="29"/>
      <c r="K28" s="29"/>
      <c r="L28" s="29"/>
      <c r="P28" s="1"/>
    </row>
    <row r="29" spans="1:16" ht="16.25" customHeight="1" x14ac:dyDescent="0.2">
      <c r="A29" s="10">
        <v>45865</v>
      </c>
      <c r="B29" s="56" t="s">
        <v>20</v>
      </c>
      <c r="C29" s="57"/>
      <c r="D29" s="74"/>
      <c r="E29" s="74"/>
      <c r="F29" s="20"/>
      <c r="G29" s="26"/>
      <c r="H29" s="8"/>
      <c r="I29" s="8"/>
      <c r="J29" s="29"/>
      <c r="K29" s="29"/>
      <c r="L29" s="29"/>
      <c r="P29" s="1"/>
    </row>
    <row r="30" spans="1:16" ht="16.25" customHeight="1" x14ac:dyDescent="0.2">
      <c r="A30" s="7">
        <v>45866</v>
      </c>
      <c r="B30" s="58" t="s">
        <v>23</v>
      </c>
      <c r="C30" s="60" t="s">
        <v>24</v>
      </c>
      <c r="D30" s="76"/>
      <c r="E30" s="76"/>
      <c r="F30" s="21"/>
      <c r="G30" s="27"/>
      <c r="H30" s="5"/>
      <c r="I30" s="5"/>
      <c r="J30" s="29"/>
      <c r="K30" s="29"/>
      <c r="L30" s="29"/>
      <c r="P30" s="1"/>
    </row>
    <row r="31" spans="1:16" ht="16.25" customHeight="1" x14ac:dyDescent="0.2">
      <c r="A31" s="7">
        <v>45867</v>
      </c>
      <c r="B31" s="58" t="s">
        <v>23</v>
      </c>
      <c r="C31" s="59"/>
      <c r="D31" s="75"/>
      <c r="E31" s="75"/>
      <c r="F31" s="21"/>
      <c r="G31" s="27"/>
      <c r="H31" s="5"/>
      <c r="I31" s="5"/>
      <c r="J31" s="29"/>
      <c r="K31" s="29"/>
      <c r="L31" s="29"/>
      <c r="P31" s="1"/>
    </row>
    <row r="32" spans="1:16" ht="16.25" customHeight="1" x14ac:dyDescent="0.2">
      <c r="A32" s="7">
        <v>45868</v>
      </c>
      <c r="B32" s="58" t="s">
        <v>23</v>
      </c>
      <c r="C32" s="60" t="s">
        <v>25</v>
      </c>
      <c r="D32" s="76"/>
      <c r="E32" s="76"/>
      <c r="F32" s="21"/>
      <c r="G32" s="27"/>
      <c r="H32" s="5"/>
      <c r="I32" s="5"/>
      <c r="J32" s="29"/>
      <c r="K32" s="29"/>
      <c r="L32" s="29"/>
    </row>
    <row r="33" spans="1:12" ht="16.25" customHeight="1" x14ac:dyDescent="0.2">
      <c r="A33" s="7">
        <v>45869</v>
      </c>
      <c r="B33" s="58" t="s">
        <v>23</v>
      </c>
      <c r="C33" s="59"/>
      <c r="D33" s="75"/>
      <c r="E33" s="75"/>
      <c r="F33" s="21"/>
      <c r="G33" s="27"/>
      <c r="H33" s="5"/>
      <c r="I33" s="5"/>
      <c r="J33" s="29" t="s">
        <v>22</v>
      </c>
      <c r="K33" s="29" t="s">
        <v>26</v>
      </c>
      <c r="L33" s="29"/>
    </row>
    <row r="34" spans="1:12" ht="16.25" customHeight="1" x14ac:dyDescent="0.2">
      <c r="A34" s="7">
        <v>45870</v>
      </c>
      <c r="B34" s="58" t="s">
        <v>23</v>
      </c>
      <c r="C34" s="60" t="s">
        <v>27</v>
      </c>
      <c r="D34" s="76"/>
      <c r="E34" s="76"/>
      <c r="F34" s="21"/>
      <c r="G34" s="27"/>
      <c r="H34" s="5"/>
      <c r="I34" s="5"/>
      <c r="J34" s="29" t="s">
        <v>28</v>
      </c>
      <c r="K34" s="29"/>
      <c r="L34" s="29"/>
    </row>
    <row r="35" spans="1:12" ht="16.25" customHeight="1" x14ac:dyDescent="0.2">
      <c r="A35" s="10">
        <v>45871</v>
      </c>
      <c r="B35" s="56" t="s">
        <v>20</v>
      </c>
      <c r="C35" s="57"/>
      <c r="D35" s="74"/>
      <c r="E35" s="74"/>
      <c r="F35" s="20"/>
      <c r="G35" s="26"/>
      <c r="H35" s="8"/>
      <c r="I35" s="8"/>
      <c r="J35" s="29"/>
      <c r="K35" s="29"/>
      <c r="L35" s="29"/>
    </row>
    <row r="36" spans="1:12" ht="16.25" customHeight="1" x14ac:dyDescent="0.2">
      <c r="A36" s="10">
        <v>45872</v>
      </c>
      <c r="B36" s="56" t="s">
        <v>29</v>
      </c>
      <c r="C36" s="57"/>
      <c r="D36" s="74"/>
      <c r="E36" s="74"/>
      <c r="F36" s="20"/>
      <c r="G36" s="26"/>
      <c r="H36" s="8"/>
      <c r="I36" s="8"/>
      <c r="J36" s="29"/>
      <c r="K36" s="29"/>
      <c r="L36" s="29"/>
    </row>
    <row r="37" spans="1:12" ht="16.25" customHeight="1" x14ac:dyDescent="0.2">
      <c r="A37" s="7">
        <v>45873</v>
      </c>
      <c r="B37" s="58" t="s">
        <v>23</v>
      </c>
      <c r="C37" s="60" t="s">
        <v>30</v>
      </c>
      <c r="D37" s="76"/>
      <c r="E37" s="76"/>
      <c r="F37" s="21"/>
      <c r="G37" s="27"/>
      <c r="H37" s="5"/>
      <c r="I37" s="5"/>
      <c r="J37" s="29" t="s">
        <v>31</v>
      </c>
      <c r="K37" s="29" t="s">
        <v>32</v>
      </c>
      <c r="L37" s="29"/>
    </row>
    <row r="38" spans="1:12" ht="16.25" customHeight="1" x14ac:dyDescent="0.2">
      <c r="A38" s="7">
        <v>45874</v>
      </c>
      <c r="B38" s="58" t="s">
        <v>23</v>
      </c>
      <c r="C38" s="60" t="s">
        <v>33</v>
      </c>
      <c r="D38" s="76"/>
      <c r="E38" s="76"/>
      <c r="F38" s="21"/>
      <c r="G38" s="27"/>
      <c r="H38" s="5"/>
      <c r="I38" s="5"/>
      <c r="J38" s="29" t="s">
        <v>34</v>
      </c>
      <c r="K38" s="29"/>
      <c r="L38" s="29"/>
    </row>
    <row r="39" spans="1:12" ht="16.25" customHeight="1" x14ac:dyDescent="0.2">
      <c r="A39" s="7">
        <v>45875</v>
      </c>
      <c r="B39" s="58" t="s">
        <v>23</v>
      </c>
      <c r="C39" s="60" t="s">
        <v>33</v>
      </c>
      <c r="D39" s="76"/>
      <c r="E39" s="76"/>
      <c r="F39" s="21"/>
      <c r="G39" s="27"/>
      <c r="H39" s="5"/>
      <c r="I39" s="5"/>
      <c r="J39" s="29"/>
      <c r="K39" s="29"/>
      <c r="L39" s="29"/>
    </row>
    <row r="40" spans="1:12" ht="16.25" customHeight="1" x14ac:dyDescent="0.2">
      <c r="A40" s="10">
        <v>45876</v>
      </c>
      <c r="B40" s="56" t="s">
        <v>17</v>
      </c>
      <c r="C40" s="57"/>
      <c r="D40" s="74"/>
      <c r="E40" s="74"/>
      <c r="F40" s="20"/>
      <c r="G40" s="26"/>
      <c r="H40" s="8"/>
      <c r="I40" s="8"/>
      <c r="J40" s="29"/>
      <c r="K40" s="29"/>
      <c r="L40" s="29"/>
    </row>
    <row r="41" spans="1:12" ht="16.25" customHeight="1" x14ac:dyDescent="0.2">
      <c r="A41" s="7">
        <v>45877</v>
      </c>
      <c r="B41" s="58" t="s">
        <v>23</v>
      </c>
      <c r="C41" s="60" t="s">
        <v>33</v>
      </c>
      <c r="D41" s="76"/>
      <c r="E41" s="76"/>
      <c r="F41" s="21"/>
      <c r="G41" s="27"/>
      <c r="H41" s="5"/>
      <c r="I41" s="5"/>
      <c r="J41" s="29"/>
      <c r="K41" s="29"/>
      <c r="L41" s="29"/>
    </row>
    <row r="42" spans="1:12" ht="16.25" customHeight="1" x14ac:dyDescent="0.2">
      <c r="A42" s="10">
        <v>45878</v>
      </c>
      <c r="B42" s="56" t="s">
        <v>20</v>
      </c>
      <c r="C42" s="57"/>
      <c r="D42" s="74"/>
      <c r="E42" s="74"/>
      <c r="F42" s="20"/>
      <c r="G42" s="26"/>
      <c r="H42" s="8"/>
      <c r="I42" s="8"/>
      <c r="J42" s="29"/>
      <c r="K42" s="29"/>
      <c r="L42" s="29"/>
    </row>
    <row r="43" spans="1:12" ht="16.25" customHeight="1" x14ac:dyDescent="0.2">
      <c r="A43" s="10">
        <v>45879</v>
      </c>
      <c r="B43" s="56" t="s">
        <v>20</v>
      </c>
      <c r="C43" s="57"/>
      <c r="D43" s="74"/>
      <c r="E43" s="74"/>
      <c r="F43" s="20"/>
      <c r="G43" s="26"/>
      <c r="H43" s="8"/>
      <c r="I43" s="8"/>
      <c r="J43" s="29"/>
      <c r="K43" s="29"/>
      <c r="L43" s="29"/>
    </row>
    <row r="44" spans="1:12" ht="16.25" customHeight="1" x14ac:dyDescent="0.2">
      <c r="A44" s="7">
        <v>45880</v>
      </c>
      <c r="B44" s="58" t="s">
        <v>23</v>
      </c>
      <c r="C44" s="60" t="s">
        <v>36</v>
      </c>
      <c r="D44" s="76" t="s">
        <v>189</v>
      </c>
      <c r="E44" s="76"/>
      <c r="F44" s="21"/>
      <c r="G44" s="27">
        <v>1</v>
      </c>
      <c r="H44" s="5"/>
      <c r="I44" s="5"/>
      <c r="J44" s="29"/>
      <c r="K44" s="29" t="s">
        <v>34</v>
      </c>
      <c r="L44" s="29" t="s">
        <v>37</v>
      </c>
    </row>
    <row r="45" spans="1:12" ht="16.25" customHeight="1" x14ac:dyDescent="0.2">
      <c r="A45" s="7">
        <v>45881</v>
      </c>
      <c r="B45" s="58" t="s">
        <v>23</v>
      </c>
      <c r="C45" s="60" t="s">
        <v>38</v>
      </c>
      <c r="D45" s="76" t="s">
        <v>190</v>
      </c>
      <c r="E45" s="76"/>
      <c r="F45" s="21"/>
      <c r="G45" s="27"/>
      <c r="H45" s="5"/>
      <c r="I45" s="5"/>
      <c r="J45" s="29"/>
      <c r="K45" s="29" t="s">
        <v>39</v>
      </c>
      <c r="L45" s="29" t="s">
        <v>40</v>
      </c>
    </row>
    <row r="46" spans="1:12" ht="16.25" customHeight="1" x14ac:dyDescent="0.2">
      <c r="A46" s="7">
        <v>45882</v>
      </c>
      <c r="B46" s="61">
        <v>1</v>
      </c>
      <c r="C46" s="60" t="s">
        <v>41</v>
      </c>
      <c r="D46" s="76" t="s">
        <v>191</v>
      </c>
      <c r="E46" s="76"/>
      <c r="F46" s="21"/>
      <c r="G46" s="27"/>
      <c r="H46" s="5"/>
      <c r="I46" s="5"/>
      <c r="J46" s="29"/>
      <c r="K46" s="29" t="s">
        <v>42</v>
      </c>
      <c r="L46" s="29" t="s">
        <v>43</v>
      </c>
    </row>
    <row r="47" spans="1:12" ht="16.25" customHeight="1" x14ac:dyDescent="0.2">
      <c r="A47" s="7">
        <v>45883</v>
      </c>
      <c r="B47" s="61">
        <v>2</v>
      </c>
      <c r="C47" s="60"/>
      <c r="D47" s="76" t="s">
        <v>136</v>
      </c>
      <c r="E47" s="76"/>
      <c r="F47" s="21"/>
      <c r="G47" s="27"/>
      <c r="H47" s="5"/>
      <c r="I47" s="5"/>
      <c r="J47" s="29" t="s">
        <v>44</v>
      </c>
      <c r="K47" s="29" t="s">
        <v>45</v>
      </c>
      <c r="L47" s="29"/>
    </row>
    <row r="48" spans="1:12" ht="16.25" customHeight="1" x14ac:dyDescent="0.2">
      <c r="A48" s="7">
        <v>45884</v>
      </c>
      <c r="B48" s="61">
        <v>3</v>
      </c>
      <c r="C48" s="60"/>
      <c r="D48" s="76" t="s">
        <v>136</v>
      </c>
      <c r="E48" s="76"/>
      <c r="F48" s="21"/>
      <c r="G48" s="27"/>
      <c r="H48" s="5"/>
      <c r="I48" s="5"/>
      <c r="J48" s="29" t="s">
        <v>46</v>
      </c>
      <c r="K48" s="29"/>
      <c r="L48" s="29"/>
    </row>
    <row r="49" spans="1:12" ht="16.25" customHeight="1" x14ac:dyDescent="0.2">
      <c r="A49" s="10">
        <v>45885</v>
      </c>
      <c r="B49" s="56" t="s">
        <v>20</v>
      </c>
      <c r="C49" s="57"/>
      <c r="D49" s="74"/>
      <c r="E49" s="74"/>
      <c r="F49" s="20"/>
      <c r="G49" s="26"/>
      <c r="H49" s="8"/>
      <c r="I49" s="8"/>
      <c r="J49" s="29"/>
      <c r="K49" s="29"/>
      <c r="L49" s="29"/>
    </row>
    <row r="50" spans="1:12" ht="16.25" customHeight="1" x14ac:dyDescent="0.2">
      <c r="A50" s="10">
        <v>45886</v>
      </c>
      <c r="B50" s="56" t="s">
        <v>20</v>
      </c>
      <c r="C50" s="57"/>
      <c r="D50" s="74"/>
      <c r="E50" s="74"/>
      <c r="F50" s="20"/>
      <c r="G50" s="26"/>
      <c r="H50" s="8"/>
      <c r="I50" s="8"/>
      <c r="J50" s="29"/>
      <c r="K50" s="29"/>
      <c r="L50" s="29"/>
    </row>
    <row r="51" spans="1:12" ht="16.25" customHeight="1" x14ac:dyDescent="0.2">
      <c r="A51" s="10">
        <v>45887</v>
      </c>
      <c r="B51" s="56" t="s">
        <v>17</v>
      </c>
      <c r="C51" s="57"/>
      <c r="D51" s="74"/>
      <c r="E51" s="74"/>
      <c r="F51" s="20"/>
      <c r="G51" s="26"/>
      <c r="H51" s="8"/>
      <c r="I51" s="8"/>
      <c r="J51" s="29"/>
      <c r="K51" s="29"/>
      <c r="L51" s="29"/>
    </row>
    <row r="52" spans="1:12" ht="16.25" customHeight="1" x14ac:dyDescent="0.2">
      <c r="A52" s="7">
        <v>45888</v>
      </c>
      <c r="B52" s="61">
        <v>4</v>
      </c>
      <c r="C52" s="60"/>
      <c r="D52" s="76" t="s">
        <v>136</v>
      </c>
      <c r="E52" s="76"/>
      <c r="F52" s="21"/>
      <c r="G52" s="27">
        <f>1+SUM(G43:G49)</f>
        <v>2</v>
      </c>
      <c r="H52" s="5"/>
      <c r="I52" s="5"/>
      <c r="J52" s="29"/>
      <c r="K52" s="29"/>
      <c r="L52" s="29"/>
    </row>
    <row r="53" spans="1:12" ht="16.25" customHeight="1" x14ac:dyDescent="0.2">
      <c r="A53" s="7">
        <v>45889</v>
      </c>
      <c r="B53" s="61">
        <v>5</v>
      </c>
      <c r="C53" s="60"/>
      <c r="D53" s="76" t="s">
        <v>136</v>
      </c>
      <c r="E53" s="76"/>
      <c r="F53" s="21"/>
      <c r="G53" s="27"/>
      <c r="H53" s="5"/>
      <c r="I53" s="5"/>
      <c r="J53" s="29"/>
      <c r="K53" s="29"/>
      <c r="L53" s="29"/>
    </row>
    <row r="54" spans="1:12" ht="16.25" customHeight="1" x14ac:dyDescent="0.2">
      <c r="A54" s="7">
        <v>45890</v>
      </c>
      <c r="B54" s="61">
        <v>6</v>
      </c>
      <c r="C54" s="60"/>
      <c r="D54" s="76" t="s">
        <v>136</v>
      </c>
      <c r="E54" s="76"/>
      <c r="F54" s="21">
        <v>1</v>
      </c>
      <c r="G54" s="27"/>
      <c r="H54" s="5"/>
      <c r="I54" s="5"/>
      <c r="J54" s="29"/>
      <c r="K54" s="29"/>
      <c r="L54" s="29"/>
    </row>
    <row r="55" spans="1:12" ht="16.25" customHeight="1" x14ac:dyDescent="0.2">
      <c r="A55" s="7">
        <v>45891</v>
      </c>
      <c r="B55" s="61">
        <v>1</v>
      </c>
      <c r="C55" s="60"/>
      <c r="D55" s="76"/>
      <c r="E55" s="76"/>
      <c r="F55" s="21"/>
      <c r="G55" s="27"/>
      <c r="H55" s="5"/>
      <c r="I55" s="5"/>
      <c r="J55" s="29"/>
      <c r="K55" s="29"/>
      <c r="L55" s="29"/>
    </row>
    <row r="56" spans="1:12" ht="16.25" customHeight="1" x14ac:dyDescent="0.2">
      <c r="A56" s="10">
        <v>45892</v>
      </c>
      <c r="B56" s="56" t="s">
        <v>20</v>
      </c>
      <c r="C56" s="57"/>
      <c r="D56" s="74"/>
      <c r="E56" s="74"/>
      <c r="F56" s="20"/>
      <c r="G56" s="26"/>
      <c r="H56" s="8"/>
      <c r="I56" s="8"/>
      <c r="J56" s="29"/>
      <c r="K56" s="29"/>
      <c r="L56" s="29"/>
    </row>
    <row r="57" spans="1:12" ht="16.25" customHeight="1" x14ac:dyDescent="0.2">
      <c r="A57" s="10">
        <v>45893</v>
      </c>
      <c r="B57" s="56" t="s">
        <v>20</v>
      </c>
      <c r="C57" s="57"/>
      <c r="D57" s="74"/>
      <c r="E57" s="74"/>
      <c r="F57" s="20"/>
      <c r="G57" s="26"/>
      <c r="H57" s="8"/>
      <c r="I57" s="8"/>
      <c r="J57" s="29"/>
      <c r="K57" s="29"/>
      <c r="L57" s="29"/>
    </row>
    <row r="58" spans="1:12" ht="16.25" customHeight="1" x14ac:dyDescent="0.2">
      <c r="A58" s="7">
        <v>45894</v>
      </c>
      <c r="B58" s="61">
        <v>2</v>
      </c>
      <c r="C58" s="60"/>
      <c r="D58" s="76"/>
      <c r="E58" s="76"/>
      <c r="F58" s="21"/>
      <c r="G58" s="27">
        <f>1+SUM(G49:G55)</f>
        <v>3</v>
      </c>
      <c r="H58" s="5"/>
      <c r="I58" s="5"/>
      <c r="J58" s="29"/>
      <c r="K58" s="29"/>
      <c r="L58" s="29"/>
    </row>
    <row r="59" spans="1:12" ht="16.25" customHeight="1" x14ac:dyDescent="0.2">
      <c r="A59" s="7">
        <v>45895</v>
      </c>
      <c r="B59" s="61">
        <v>3</v>
      </c>
      <c r="C59" s="60"/>
      <c r="D59" s="76"/>
      <c r="E59" s="76"/>
      <c r="F59" s="21"/>
      <c r="G59" s="27"/>
      <c r="H59" s="5"/>
      <c r="I59" s="5"/>
      <c r="J59" s="29"/>
      <c r="K59" s="29"/>
      <c r="L59" s="29"/>
    </row>
    <row r="60" spans="1:12" ht="16.25" customHeight="1" x14ac:dyDescent="0.2">
      <c r="A60" s="7">
        <v>45896</v>
      </c>
      <c r="B60" s="61">
        <v>4</v>
      </c>
      <c r="C60" s="60"/>
      <c r="D60" s="76"/>
      <c r="E60" s="76"/>
      <c r="F60" s="21"/>
      <c r="G60" s="27"/>
      <c r="H60" s="5"/>
      <c r="I60" s="5"/>
      <c r="J60" s="29"/>
      <c r="K60" s="29"/>
      <c r="L60" s="29"/>
    </row>
    <row r="61" spans="1:12" ht="16.25" customHeight="1" x14ac:dyDescent="0.2">
      <c r="A61" s="7">
        <v>45897</v>
      </c>
      <c r="B61" s="61">
        <v>5</v>
      </c>
      <c r="C61" s="60"/>
      <c r="D61" s="76"/>
      <c r="E61" s="76"/>
      <c r="F61" s="21"/>
      <c r="G61" s="27"/>
      <c r="H61" s="5"/>
      <c r="I61" s="5"/>
      <c r="J61" s="29"/>
      <c r="K61" s="29"/>
      <c r="L61" s="29"/>
    </row>
    <row r="62" spans="1:12" ht="16.25" customHeight="1" x14ac:dyDescent="0.2">
      <c r="A62" s="7">
        <v>45898</v>
      </c>
      <c r="B62" s="61">
        <v>6</v>
      </c>
      <c r="C62" s="60"/>
      <c r="D62" s="76"/>
      <c r="E62" s="76"/>
      <c r="F62" s="21">
        <v>2</v>
      </c>
      <c r="G62" s="27"/>
      <c r="H62" s="5"/>
      <c r="I62" s="5"/>
      <c r="J62" s="29"/>
      <c r="K62" s="29"/>
      <c r="L62" s="29"/>
    </row>
    <row r="63" spans="1:12" ht="16.25" customHeight="1" x14ac:dyDescent="0.2">
      <c r="A63" s="10">
        <v>45899</v>
      </c>
      <c r="B63" s="56" t="s">
        <v>48</v>
      </c>
      <c r="C63" s="56" t="s">
        <v>48</v>
      </c>
      <c r="D63" s="77" t="s">
        <v>137</v>
      </c>
      <c r="E63" s="77"/>
      <c r="F63" s="20"/>
      <c r="G63" s="26"/>
      <c r="H63" s="8"/>
      <c r="I63" s="8"/>
      <c r="J63" s="29"/>
      <c r="K63" s="29"/>
      <c r="L63" s="29"/>
    </row>
    <row r="64" spans="1:12" ht="16.25" customHeight="1" x14ac:dyDescent="0.2">
      <c r="A64" s="10">
        <v>45900</v>
      </c>
      <c r="B64" s="56" t="s">
        <v>20</v>
      </c>
      <c r="C64" s="57"/>
      <c r="D64" s="74"/>
      <c r="E64" s="74"/>
      <c r="F64" s="20"/>
      <c r="G64" s="26"/>
      <c r="H64" s="8"/>
      <c r="I64" s="8"/>
      <c r="J64" s="29"/>
      <c r="K64" s="29"/>
      <c r="L64" s="29"/>
    </row>
    <row r="65" spans="1:12" ht="16.25" customHeight="1" x14ac:dyDescent="0.2">
      <c r="A65" s="7">
        <v>45901</v>
      </c>
      <c r="B65" s="61">
        <v>1</v>
      </c>
      <c r="C65" s="60"/>
      <c r="D65" s="76"/>
      <c r="E65" s="76"/>
      <c r="F65" s="21"/>
      <c r="G65" s="27">
        <f>1+SUM(G56:G62)</f>
        <v>4</v>
      </c>
      <c r="H65" s="5"/>
      <c r="I65" s="5"/>
      <c r="J65" s="29"/>
      <c r="K65" s="29"/>
      <c r="L65" s="29"/>
    </row>
    <row r="66" spans="1:12" ht="16.25" customHeight="1" x14ac:dyDescent="0.2">
      <c r="A66" s="7">
        <v>45902</v>
      </c>
      <c r="B66" s="61">
        <v>2</v>
      </c>
      <c r="C66" s="60"/>
      <c r="D66" s="76"/>
      <c r="E66" s="76"/>
      <c r="F66" s="21"/>
      <c r="G66" s="27"/>
      <c r="H66" s="5"/>
      <c r="I66" s="5"/>
      <c r="J66" s="29"/>
      <c r="K66" s="29"/>
      <c r="L66" s="29"/>
    </row>
    <row r="67" spans="1:12" ht="16.25" customHeight="1" x14ac:dyDescent="0.2">
      <c r="A67" s="7">
        <v>45903</v>
      </c>
      <c r="B67" s="61">
        <v>3</v>
      </c>
      <c r="C67" s="60"/>
      <c r="D67" s="76"/>
      <c r="E67" s="76"/>
      <c r="F67" s="21"/>
      <c r="G67" s="27"/>
      <c r="H67" s="5"/>
      <c r="I67" s="5"/>
      <c r="J67" s="29"/>
      <c r="K67" s="29"/>
      <c r="L67" s="29"/>
    </row>
    <row r="68" spans="1:12" ht="16.25" customHeight="1" x14ac:dyDescent="0.2">
      <c r="A68" s="7">
        <v>45904</v>
      </c>
      <c r="B68" s="61">
        <v>4</v>
      </c>
      <c r="C68" s="60"/>
      <c r="D68" s="76"/>
      <c r="E68" s="76"/>
      <c r="F68" s="21"/>
      <c r="G68" s="27"/>
      <c r="H68" s="5"/>
      <c r="I68" s="5"/>
      <c r="J68" s="29"/>
      <c r="K68" s="29"/>
      <c r="L68" s="29"/>
    </row>
    <row r="69" spans="1:12" ht="16.25" customHeight="1" x14ac:dyDescent="0.2">
      <c r="A69" s="7">
        <v>45905</v>
      </c>
      <c r="B69" s="58" t="s">
        <v>51</v>
      </c>
      <c r="C69" s="60" t="s">
        <v>138</v>
      </c>
      <c r="D69" s="76" t="s">
        <v>139</v>
      </c>
      <c r="E69" s="76"/>
      <c r="F69" s="21"/>
      <c r="G69" s="27"/>
      <c r="H69" s="5"/>
      <c r="I69" s="5"/>
      <c r="J69" s="29"/>
      <c r="K69" s="29"/>
      <c r="L69" s="29"/>
    </row>
    <row r="70" spans="1:12" ht="16.25" customHeight="1" x14ac:dyDescent="0.2">
      <c r="A70" s="10">
        <v>45906</v>
      </c>
      <c r="B70" s="56" t="s">
        <v>20</v>
      </c>
      <c r="C70" s="57"/>
      <c r="D70" s="74"/>
      <c r="E70" s="74"/>
      <c r="F70" s="20"/>
      <c r="G70" s="26"/>
      <c r="H70" s="8"/>
      <c r="I70" s="8"/>
      <c r="J70" s="29"/>
      <c r="K70" s="29"/>
      <c r="L70" s="29"/>
    </row>
    <row r="71" spans="1:12" ht="16.25" customHeight="1" x14ac:dyDescent="0.2">
      <c r="A71" s="10">
        <v>45907</v>
      </c>
      <c r="B71" s="56" t="s">
        <v>20</v>
      </c>
      <c r="C71" s="57"/>
      <c r="D71" s="74"/>
      <c r="E71" s="74"/>
      <c r="F71" s="20"/>
      <c r="G71" s="26"/>
      <c r="H71" s="8"/>
      <c r="I71" s="8"/>
      <c r="J71" s="29"/>
      <c r="K71" s="29"/>
      <c r="L71" s="29"/>
    </row>
    <row r="72" spans="1:12" ht="16.25" customHeight="1" x14ac:dyDescent="0.2">
      <c r="A72" s="7">
        <v>45908</v>
      </c>
      <c r="B72" s="61">
        <v>5</v>
      </c>
      <c r="C72" s="60" t="s">
        <v>53</v>
      </c>
      <c r="D72" s="76"/>
      <c r="E72" s="76" t="s">
        <v>192</v>
      </c>
      <c r="F72" s="21"/>
      <c r="G72" s="27">
        <f>1+SUM(G63:G69)</f>
        <v>5</v>
      </c>
      <c r="H72" s="5"/>
      <c r="I72" s="5"/>
      <c r="J72" s="29"/>
      <c r="K72" s="29"/>
      <c r="L72" s="29"/>
    </row>
    <row r="73" spans="1:12" ht="16.25" customHeight="1" x14ac:dyDescent="0.2">
      <c r="A73" s="7">
        <v>45909</v>
      </c>
      <c r="B73" s="61">
        <v>6</v>
      </c>
      <c r="C73" s="60"/>
      <c r="D73" s="76"/>
      <c r="E73" s="76" t="s">
        <v>193</v>
      </c>
      <c r="F73" s="21">
        <v>3</v>
      </c>
      <c r="G73" s="27"/>
      <c r="H73" s="5"/>
      <c r="I73" s="5"/>
      <c r="J73" s="29"/>
      <c r="K73" s="29"/>
      <c r="L73" s="29"/>
    </row>
    <row r="74" spans="1:12" ht="16.25" customHeight="1" x14ac:dyDescent="0.2">
      <c r="A74" s="7">
        <v>45910</v>
      </c>
      <c r="B74" s="61">
        <v>1</v>
      </c>
      <c r="C74" s="60"/>
      <c r="D74" s="76"/>
      <c r="E74" s="76" t="s">
        <v>193</v>
      </c>
      <c r="F74" s="21"/>
      <c r="G74" s="27"/>
      <c r="H74" s="5"/>
      <c r="I74" s="5"/>
      <c r="J74" s="29"/>
      <c r="K74" s="29"/>
      <c r="L74" s="29"/>
    </row>
    <row r="75" spans="1:12" ht="16.25" customHeight="1" x14ac:dyDescent="0.2">
      <c r="A75" s="7">
        <v>45911</v>
      </c>
      <c r="B75" s="61">
        <v>2</v>
      </c>
      <c r="C75" s="60"/>
      <c r="D75" s="76"/>
      <c r="E75" s="76" t="s">
        <v>194</v>
      </c>
      <c r="F75" s="21"/>
      <c r="G75" s="27"/>
      <c r="H75" s="5"/>
      <c r="I75" s="5"/>
      <c r="J75" s="29"/>
      <c r="K75" s="29"/>
      <c r="L75" s="29"/>
    </row>
    <row r="76" spans="1:12" ht="16.25" customHeight="1" x14ac:dyDescent="0.2">
      <c r="A76" s="7">
        <v>45912</v>
      </c>
      <c r="B76" s="61">
        <v>3</v>
      </c>
      <c r="C76" s="60"/>
      <c r="D76" s="76" t="s">
        <v>195</v>
      </c>
      <c r="E76" s="76"/>
      <c r="F76" s="21"/>
      <c r="G76" s="27"/>
      <c r="H76" s="5"/>
      <c r="I76" s="5"/>
      <c r="J76" s="29"/>
      <c r="K76" s="29"/>
      <c r="L76" s="29"/>
    </row>
    <row r="77" spans="1:12" ht="16.25" customHeight="1" x14ac:dyDescent="0.2">
      <c r="A77" s="10">
        <v>45913</v>
      </c>
      <c r="B77" s="56" t="s">
        <v>20</v>
      </c>
      <c r="C77" s="57"/>
      <c r="D77" s="74"/>
      <c r="E77" s="74"/>
      <c r="F77" s="20"/>
      <c r="G77" s="26"/>
      <c r="H77" s="8"/>
      <c r="I77" s="8"/>
      <c r="J77" s="29"/>
      <c r="K77" s="29"/>
      <c r="L77" s="29"/>
    </row>
    <row r="78" spans="1:12" ht="16.25" customHeight="1" x14ac:dyDescent="0.2">
      <c r="A78" s="10">
        <v>45914</v>
      </c>
      <c r="B78" s="56" t="s">
        <v>20</v>
      </c>
      <c r="C78" s="57"/>
      <c r="D78" s="74"/>
      <c r="E78" s="74"/>
      <c r="F78" s="20"/>
      <c r="G78" s="26"/>
      <c r="H78" s="8"/>
      <c r="I78" s="8"/>
      <c r="J78" s="29"/>
      <c r="K78" s="29"/>
      <c r="L78" s="29"/>
    </row>
    <row r="79" spans="1:12" ht="16.25" customHeight="1" x14ac:dyDescent="0.2">
      <c r="A79" s="7">
        <v>45915</v>
      </c>
      <c r="B79" s="61">
        <v>4</v>
      </c>
      <c r="C79" s="60"/>
      <c r="D79" s="76"/>
      <c r="E79" s="76" t="s">
        <v>142</v>
      </c>
      <c r="F79" s="21"/>
      <c r="G79" s="27">
        <f>1+SUM(G70:G76)</f>
        <v>6</v>
      </c>
      <c r="H79" s="5"/>
      <c r="I79" s="5"/>
      <c r="J79" s="29"/>
      <c r="K79" s="29"/>
      <c r="L79" s="29"/>
    </row>
    <row r="80" spans="1:12" ht="16.25" customHeight="1" x14ac:dyDescent="0.2">
      <c r="A80" s="7">
        <v>45916</v>
      </c>
      <c r="B80" s="61">
        <v>5</v>
      </c>
      <c r="C80" s="60"/>
      <c r="D80" s="76"/>
      <c r="E80" s="76" t="s">
        <v>142</v>
      </c>
      <c r="F80" s="21"/>
      <c r="G80" s="27"/>
      <c r="H80" s="5"/>
      <c r="I80" s="5"/>
      <c r="J80" s="29"/>
      <c r="K80" s="29"/>
      <c r="L80" s="29"/>
    </row>
    <row r="81" spans="1:12" ht="16.25" customHeight="1" x14ac:dyDescent="0.2">
      <c r="A81" s="7">
        <v>45917</v>
      </c>
      <c r="B81" s="61">
        <v>6</v>
      </c>
      <c r="C81" s="60"/>
      <c r="D81" s="76" t="s">
        <v>196</v>
      </c>
      <c r="E81" s="76" t="s">
        <v>142</v>
      </c>
      <c r="F81" s="21">
        <v>4</v>
      </c>
      <c r="G81" s="27"/>
      <c r="H81" s="5"/>
      <c r="I81" s="5"/>
      <c r="J81" s="29"/>
      <c r="K81" s="29"/>
      <c r="L81" s="29"/>
    </row>
    <row r="82" spans="1:12" ht="16.25" customHeight="1" x14ac:dyDescent="0.2">
      <c r="A82" s="7">
        <v>45918</v>
      </c>
      <c r="B82" s="61">
        <v>1</v>
      </c>
      <c r="C82" s="60"/>
      <c r="D82" s="76"/>
      <c r="E82" s="76" t="s">
        <v>142</v>
      </c>
      <c r="F82" s="21"/>
      <c r="G82" s="27"/>
      <c r="H82" s="5"/>
      <c r="I82" s="5"/>
      <c r="J82" s="29"/>
      <c r="K82" s="29"/>
      <c r="L82" s="29"/>
    </row>
    <row r="83" spans="1:12" ht="16.25" customHeight="1" x14ac:dyDescent="0.2">
      <c r="A83" s="7">
        <v>45919</v>
      </c>
      <c r="B83" s="61">
        <v>2</v>
      </c>
      <c r="C83" s="60"/>
      <c r="D83" s="76" t="s">
        <v>145</v>
      </c>
      <c r="E83" s="76" t="s">
        <v>197</v>
      </c>
      <c r="F83" s="21"/>
      <c r="G83" s="27"/>
      <c r="H83" s="5"/>
      <c r="I83" s="5"/>
      <c r="J83" s="29"/>
      <c r="K83" s="29"/>
      <c r="L83" s="29"/>
    </row>
    <row r="84" spans="1:12" ht="16.25" customHeight="1" x14ac:dyDescent="0.2">
      <c r="A84" s="10">
        <v>45920</v>
      </c>
      <c r="B84" s="56" t="s">
        <v>20</v>
      </c>
      <c r="C84" s="57"/>
      <c r="D84" s="74"/>
      <c r="E84" s="74"/>
      <c r="F84" s="20"/>
      <c r="G84" s="26"/>
      <c r="H84" s="8"/>
      <c r="I84" s="8"/>
      <c r="J84" s="29"/>
      <c r="K84" s="29"/>
      <c r="L84" s="29"/>
    </row>
    <row r="85" spans="1:12" ht="16.25" customHeight="1" x14ac:dyDescent="0.2">
      <c r="A85" s="10">
        <v>45921</v>
      </c>
      <c r="B85" s="56" t="s">
        <v>20</v>
      </c>
      <c r="C85" s="57"/>
      <c r="D85" s="74"/>
      <c r="E85" s="74"/>
      <c r="F85" s="20"/>
      <c r="G85" s="26"/>
      <c r="H85" s="8"/>
      <c r="I85" s="8"/>
      <c r="J85" s="29"/>
      <c r="K85" s="29"/>
      <c r="L85" s="29"/>
    </row>
    <row r="86" spans="1:12" ht="16.25" customHeight="1" x14ac:dyDescent="0.2">
      <c r="A86" s="7">
        <v>45922</v>
      </c>
      <c r="B86" s="61">
        <v>3</v>
      </c>
      <c r="C86" s="60"/>
      <c r="D86" s="76"/>
      <c r="E86" s="76" t="s">
        <v>140</v>
      </c>
      <c r="F86" s="21"/>
      <c r="G86" s="27">
        <f>1+SUM(G77:G83)</f>
        <v>7</v>
      </c>
      <c r="H86" s="5"/>
      <c r="I86" s="5"/>
      <c r="J86" s="29"/>
      <c r="K86" s="29"/>
      <c r="L86" s="29"/>
    </row>
    <row r="87" spans="1:12" ht="16.25" customHeight="1" x14ac:dyDescent="0.2">
      <c r="A87" s="7">
        <v>45923</v>
      </c>
      <c r="B87" s="61">
        <v>4</v>
      </c>
      <c r="C87" s="60"/>
      <c r="D87" s="76"/>
      <c r="E87" s="76" t="s">
        <v>140</v>
      </c>
      <c r="F87" s="21"/>
      <c r="G87" s="27"/>
      <c r="H87" s="5"/>
      <c r="I87" s="5"/>
      <c r="J87" s="29"/>
      <c r="K87" s="29"/>
      <c r="L87" s="29"/>
    </row>
    <row r="88" spans="1:12" ht="16.25" customHeight="1" x14ac:dyDescent="0.2">
      <c r="A88" s="7">
        <v>45924</v>
      </c>
      <c r="B88" s="61">
        <v>5</v>
      </c>
      <c r="C88" s="60"/>
      <c r="D88" s="76"/>
      <c r="E88" s="76" t="s">
        <v>140</v>
      </c>
      <c r="F88" s="21"/>
      <c r="G88" s="27"/>
      <c r="H88" s="5"/>
      <c r="I88" s="5"/>
      <c r="J88" s="29"/>
      <c r="K88" s="29"/>
      <c r="L88" s="29"/>
    </row>
    <row r="89" spans="1:12" ht="16.25" customHeight="1" x14ac:dyDescent="0.2">
      <c r="A89" s="7">
        <v>45925</v>
      </c>
      <c r="B89" s="61">
        <v>6</v>
      </c>
      <c r="C89" s="60"/>
      <c r="D89" s="76" t="s">
        <v>198</v>
      </c>
      <c r="E89" s="76" t="s">
        <v>140</v>
      </c>
      <c r="F89" s="21">
        <v>5</v>
      </c>
      <c r="G89" s="27"/>
      <c r="H89" s="5"/>
      <c r="I89" s="5"/>
      <c r="J89" s="29"/>
      <c r="K89" s="29"/>
      <c r="L89" s="29"/>
    </row>
    <row r="90" spans="1:12" ht="16.25" customHeight="1" x14ac:dyDescent="0.2">
      <c r="A90" s="7">
        <v>45926</v>
      </c>
      <c r="B90" s="61">
        <v>1</v>
      </c>
      <c r="C90" s="60"/>
      <c r="D90" s="76"/>
      <c r="E90" s="76"/>
      <c r="F90" s="21"/>
      <c r="G90" s="27"/>
      <c r="H90" s="5"/>
      <c r="I90" s="5"/>
      <c r="J90" s="29"/>
      <c r="K90" s="29"/>
      <c r="L90" s="29"/>
    </row>
    <row r="91" spans="1:12" ht="16.25" customHeight="1" x14ac:dyDescent="0.2">
      <c r="A91" s="10">
        <v>45927</v>
      </c>
      <c r="B91" s="56" t="s">
        <v>20</v>
      </c>
      <c r="C91" s="57"/>
      <c r="D91" s="74"/>
      <c r="E91" s="74"/>
      <c r="F91" s="20"/>
      <c r="G91" s="26"/>
      <c r="H91" s="8"/>
      <c r="I91" s="8"/>
      <c r="J91" s="29"/>
      <c r="K91" s="29"/>
      <c r="L91" s="29"/>
    </row>
    <row r="92" spans="1:12" ht="16.25" customHeight="1" x14ac:dyDescent="0.2">
      <c r="A92" s="10">
        <v>45928</v>
      </c>
      <c r="B92" s="56" t="s">
        <v>20</v>
      </c>
      <c r="C92" s="57"/>
      <c r="D92" s="74"/>
      <c r="E92" s="74"/>
      <c r="F92" s="20"/>
      <c r="G92" s="26"/>
      <c r="H92" s="8"/>
      <c r="I92" s="8"/>
      <c r="J92" s="29"/>
      <c r="K92" s="29"/>
      <c r="L92" s="29"/>
    </row>
    <row r="93" spans="1:12" ht="16.25" customHeight="1" x14ac:dyDescent="0.2">
      <c r="A93" s="7">
        <v>45929</v>
      </c>
      <c r="B93" s="61">
        <v>2</v>
      </c>
      <c r="C93" s="60"/>
      <c r="D93" s="76"/>
      <c r="E93" s="76"/>
      <c r="F93" s="21"/>
      <c r="G93" s="27">
        <f>1+SUM(G84:G90)</f>
        <v>8</v>
      </c>
      <c r="H93" s="5"/>
      <c r="I93" s="5"/>
      <c r="J93" s="29"/>
      <c r="K93" s="29"/>
      <c r="L93" s="29"/>
    </row>
    <row r="94" spans="1:12" ht="16.25" customHeight="1" x14ac:dyDescent="0.2">
      <c r="A94" s="7">
        <v>45930</v>
      </c>
      <c r="B94" s="61">
        <v>3</v>
      </c>
      <c r="C94" s="60"/>
      <c r="D94" s="76"/>
      <c r="E94" s="76"/>
      <c r="F94" s="21"/>
      <c r="G94" s="27"/>
      <c r="H94" s="5"/>
      <c r="I94" s="5"/>
      <c r="J94" s="29"/>
      <c r="K94" s="29"/>
      <c r="L94" s="29"/>
    </row>
    <row r="95" spans="1:12" ht="16.25" customHeight="1" x14ac:dyDescent="0.2">
      <c r="A95" s="7">
        <v>45931</v>
      </c>
      <c r="B95" s="61">
        <v>4</v>
      </c>
      <c r="C95" s="60"/>
      <c r="D95" s="76" t="s">
        <v>199</v>
      </c>
      <c r="E95" s="76"/>
      <c r="F95" s="21"/>
      <c r="G95" s="27"/>
      <c r="H95" s="5"/>
      <c r="I95" s="5"/>
      <c r="J95" s="29"/>
      <c r="K95" s="29"/>
      <c r="L95" s="29"/>
    </row>
    <row r="96" spans="1:12" ht="16.25" customHeight="1" x14ac:dyDescent="0.2">
      <c r="A96" s="7">
        <v>45932</v>
      </c>
      <c r="B96" s="61">
        <v>5</v>
      </c>
      <c r="C96" s="60"/>
      <c r="D96" s="76"/>
      <c r="E96" s="76"/>
      <c r="F96" s="21"/>
      <c r="G96" s="27"/>
      <c r="H96" s="5"/>
      <c r="I96" s="5"/>
      <c r="J96" s="29"/>
      <c r="K96" s="29"/>
      <c r="L96" s="29"/>
    </row>
    <row r="97" spans="1:12" ht="16.25" customHeight="1" x14ac:dyDescent="0.2">
      <c r="A97" s="37">
        <v>45933</v>
      </c>
      <c r="B97" s="62">
        <v>6</v>
      </c>
      <c r="C97" s="63" t="s">
        <v>61</v>
      </c>
      <c r="D97" s="78"/>
      <c r="E97" s="78"/>
      <c r="F97" s="40">
        <v>6</v>
      </c>
      <c r="G97" s="41"/>
      <c r="H97" s="42"/>
      <c r="I97" s="42"/>
      <c r="J97" s="43"/>
      <c r="K97" s="43"/>
      <c r="L97" s="43"/>
    </row>
    <row r="98" spans="1:12" ht="16.25" customHeight="1" x14ac:dyDescent="0.2">
      <c r="A98" s="10">
        <v>45934</v>
      </c>
      <c r="B98" s="56" t="s">
        <v>62</v>
      </c>
      <c r="C98" s="57"/>
      <c r="D98" s="74"/>
      <c r="E98" s="74"/>
      <c r="F98" s="20"/>
      <c r="G98" s="26"/>
      <c r="H98" s="8"/>
      <c r="I98" s="8"/>
      <c r="J98" s="29" t="s">
        <v>63</v>
      </c>
      <c r="K98" s="29" t="s">
        <v>63</v>
      </c>
      <c r="L98" s="29" t="s">
        <v>63</v>
      </c>
    </row>
    <row r="99" spans="1:12" ht="16.25" customHeight="1" x14ac:dyDescent="0.2">
      <c r="A99" s="10">
        <v>45935</v>
      </c>
      <c r="B99" s="56" t="s">
        <v>62</v>
      </c>
      <c r="C99" s="57"/>
      <c r="D99" s="74"/>
      <c r="E99" s="74"/>
      <c r="F99" s="20"/>
      <c r="G99" s="26"/>
      <c r="H99" s="8"/>
      <c r="I99" s="8"/>
      <c r="J99" s="29" t="s">
        <v>63</v>
      </c>
      <c r="K99" s="29" t="s">
        <v>63</v>
      </c>
      <c r="L99" s="29" t="s">
        <v>63</v>
      </c>
    </row>
    <row r="100" spans="1:12" ht="16.25" customHeight="1" x14ac:dyDescent="0.2">
      <c r="A100" s="10">
        <v>45936</v>
      </c>
      <c r="B100" s="56" t="s">
        <v>62</v>
      </c>
      <c r="C100" s="57"/>
      <c r="D100" s="74"/>
      <c r="E100" s="74"/>
      <c r="F100" s="20"/>
      <c r="G100" s="26"/>
      <c r="H100" s="8"/>
      <c r="I100" s="8"/>
      <c r="J100" s="29" t="s">
        <v>63</v>
      </c>
      <c r="K100" s="29" t="s">
        <v>63</v>
      </c>
      <c r="L100" s="29" t="s">
        <v>63</v>
      </c>
    </row>
    <row r="101" spans="1:12" ht="16.25" customHeight="1" x14ac:dyDescent="0.2">
      <c r="A101" s="10">
        <v>45937</v>
      </c>
      <c r="B101" s="56" t="s">
        <v>62</v>
      </c>
      <c r="C101" s="57"/>
      <c r="D101" s="74"/>
      <c r="E101" s="74"/>
      <c r="F101" s="20"/>
      <c r="G101" s="26"/>
      <c r="H101" s="8"/>
      <c r="I101" s="8"/>
      <c r="J101" s="29" t="s">
        <v>63</v>
      </c>
      <c r="K101" s="29" t="s">
        <v>63</v>
      </c>
      <c r="L101" s="29" t="s">
        <v>63</v>
      </c>
    </row>
    <row r="102" spans="1:12" ht="16.25" customHeight="1" x14ac:dyDescent="0.2">
      <c r="A102" s="10">
        <v>45938</v>
      </c>
      <c r="B102" s="56" t="s">
        <v>62</v>
      </c>
      <c r="C102" s="57"/>
      <c r="D102" s="74"/>
      <c r="E102" s="74"/>
      <c r="F102" s="20"/>
      <c r="G102" s="26"/>
      <c r="H102" s="8"/>
      <c r="I102" s="8"/>
      <c r="J102" s="29" t="s">
        <v>63</v>
      </c>
      <c r="K102" s="29" t="s">
        <v>63</v>
      </c>
      <c r="L102" s="29" t="s">
        <v>63</v>
      </c>
    </row>
    <row r="103" spans="1:12" ht="16.25" customHeight="1" x14ac:dyDescent="0.2">
      <c r="A103" s="10">
        <v>45939</v>
      </c>
      <c r="B103" s="56" t="s">
        <v>62</v>
      </c>
      <c r="C103" s="57"/>
      <c r="D103" s="74"/>
      <c r="E103" s="74"/>
      <c r="F103" s="20"/>
      <c r="G103" s="26"/>
      <c r="H103" s="8"/>
      <c r="I103" s="8"/>
      <c r="J103" s="29" t="s">
        <v>63</v>
      </c>
      <c r="K103" s="29" t="s">
        <v>63</v>
      </c>
      <c r="L103" s="29" t="s">
        <v>63</v>
      </c>
    </row>
    <row r="104" spans="1:12" ht="16.25" customHeight="1" x14ac:dyDescent="0.2">
      <c r="A104" s="10">
        <v>45940</v>
      </c>
      <c r="B104" s="56" t="s">
        <v>62</v>
      </c>
      <c r="C104" s="57"/>
      <c r="D104" s="74"/>
      <c r="E104" s="74"/>
      <c r="F104" s="20"/>
      <c r="G104" s="26"/>
      <c r="H104" s="8"/>
      <c r="I104" s="8"/>
      <c r="J104" s="29" t="s">
        <v>63</v>
      </c>
      <c r="K104" s="29" t="s">
        <v>63</v>
      </c>
      <c r="L104" s="29" t="s">
        <v>63</v>
      </c>
    </row>
    <row r="105" spans="1:12" ht="16.25" customHeight="1" x14ac:dyDescent="0.2">
      <c r="A105" s="10">
        <v>45941</v>
      </c>
      <c r="B105" s="56" t="s">
        <v>62</v>
      </c>
      <c r="C105" s="57"/>
      <c r="D105" s="74"/>
      <c r="E105" s="74"/>
      <c r="F105" s="20"/>
      <c r="G105" s="26"/>
      <c r="H105" s="8"/>
      <c r="I105" s="8"/>
      <c r="J105" s="29" t="s">
        <v>63</v>
      </c>
      <c r="K105" s="29" t="s">
        <v>63</v>
      </c>
      <c r="L105" s="29" t="s">
        <v>63</v>
      </c>
    </row>
    <row r="106" spans="1:12" ht="16.25" customHeight="1" x14ac:dyDescent="0.2">
      <c r="A106" s="10">
        <v>45942</v>
      </c>
      <c r="B106" s="56" t="s">
        <v>62</v>
      </c>
      <c r="C106" s="57"/>
      <c r="D106" s="74"/>
      <c r="E106" s="74"/>
      <c r="F106" s="20"/>
      <c r="G106" s="26"/>
      <c r="H106" s="8"/>
      <c r="I106" s="8"/>
      <c r="J106" s="29" t="s">
        <v>63</v>
      </c>
      <c r="K106" s="29" t="s">
        <v>63</v>
      </c>
      <c r="L106" s="29" t="s">
        <v>63</v>
      </c>
    </row>
    <row r="107" spans="1:12" ht="16.25" customHeight="1" x14ac:dyDescent="0.2">
      <c r="A107" s="10">
        <v>45943</v>
      </c>
      <c r="B107" s="56" t="s">
        <v>17</v>
      </c>
      <c r="C107" s="57"/>
      <c r="D107" s="74"/>
      <c r="E107" s="74"/>
      <c r="F107" s="20"/>
      <c r="G107" s="26"/>
      <c r="H107" s="8"/>
      <c r="I107" s="8"/>
      <c r="J107" s="29" t="s">
        <v>63</v>
      </c>
      <c r="K107" s="29" t="s">
        <v>63</v>
      </c>
      <c r="L107" s="29" t="s">
        <v>63</v>
      </c>
    </row>
    <row r="108" spans="1:12" ht="16.25" customHeight="1" x14ac:dyDescent="0.2">
      <c r="A108" s="17">
        <v>45944</v>
      </c>
      <c r="B108" s="64" t="s">
        <v>64</v>
      </c>
      <c r="C108" s="65"/>
      <c r="D108" s="79"/>
      <c r="E108" s="79"/>
      <c r="F108" s="22"/>
      <c r="G108" s="28"/>
      <c r="H108" s="19"/>
      <c r="I108" s="19"/>
      <c r="J108" s="29" t="s">
        <v>65</v>
      </c>
      <c r="K108" s="29" t="s">
        <v>88</v>
      </c>
      <c r="L108" s="29"/>
    </row>
    <row r="109" spans="1:12" ht="16.25" customHeight="1" x14ac:dyDescent="0.2">
      <c r="A109" s="7">
        <v>45945</v>
      </c>
      <c r="B109" s="61">
        <v>1</v>
      </c>
      <c r="C109" s="60"/>
      <c r="D109" s="76"/>
      <c r="E109" s="76"/>
      <c r="F109" s="21"/>
      <c r="G109" s="27">
        <f>1+SUM(G92:G98)</f>
        <v>9</v>
      </c>
      <c r="H109" s="5"/>
      <c r="I109" s="5"/>
      <c r="J109" s="29" t="s">
        <v>88</v>
      </c>
      <c r="K109" s="29"/>
      <c r="L109" s="29"/>
    </row>
    <row r="110" spans="1:12" ht="16.25" customHeight="1" x14ac:dyDescent="0.2">
      <c r="A110" s="7">
        <v>45946</v>
      </c>
      <c r="B110" s="61">
        <v>2</v>
      </c>
      <c r="C110" s="60"/>
      <c r="D110" s="76"/>
      <c r="E110" s="76"/>
      <c r="F110" s="21"/>
      <c r="G110" s="27"/>
      <c r="H110" s="5"/>
      <c r="I110" s="5"/>
      <c r="J110" s="29"/>
      <c r="K110" s="29"/>
      <c r="L110" s="29"/>
    </row>
    <row r="111" spans="1:12" ht="16.25" customHeight="1" x14ac:dyDescent="0.2">
      <c r="A111" s="7">
        <v>45947</v>
      </c>
      <c r="B111" s="61">
        <v>3</v>
      </c>
      <c r="C111" s="60"/>
      <c r="D111" s="76" t="s">
        <v>148</v>
      </c>
      <c r="E111" s="76"/>
      <c r="F111" s="21"/>
      <c r="G111" s="27"/>
      <c r="H111" s="5"/>
      <c r="I111" s="5"/>
      <c r="J111" s="29"/>
      <c r="K111" s="29"/>
      <c r="L111" s="29"/>
    </row>
    <row r="112" spans="1:12" ht="16.25" customHeight="1" x14ac:dyDescent="0.2">
      <c r="A112" s="10">
        <v>45948</v>
      </c>
      <c r="B112" s="56" t="s">
        <v>20</v>
      </c>
      <c r="C112" s="57"/>
      <c r="D112" s="74"/>
      <c r="E112" s="74"/>
      <c r="F112" s="20"/>
      <c r="G112" s="26"/>
      <c r="H112" s="8"/>
      <c r="I112" s="8"/>
      <c r="J112" s="29"/>
      <c r="K112" s="29"/>
      <c r="L112" s="29"/>
    </row>
    <row r="113" spans="1:12" ht="16.25" customHeight="1" x14ac:dyDescent="0.2">
      <c r="A113" s="10">
        <v>45949</v>
      </c>
      <c r="B113" s="56" t="s">
        <v>20</v>
      </c>
      <c r="C113" s="57"/>
      <c r="D113" s="74"/>
      <c r="E113" s="74"/>
      <c r="F113" s="20"/>
      <c r="G113" s="26"/>
      <c r="H113" s="8"/>
      <c r="I113" s="8"/>
      <c r="J113" s="29"/>
      <c r="K113" s="29"/>
      <c r="L113" s="29"/>
    </row>
    <row r="114" spans="1:12" ht="16.25" customHeight="1" x14ac:dyDescent="0.2">
      <c r="A114" s="7">
        <v>45950</v>
      </c>
      <c r="B114" s="61">
        <v>4</v>
      </c>
      <c r="C114" s="60"/>
      <c r="D114" s="76" t="s">
        <v>149</v>
      </c>
      <c r="E114" s="76" t="s">
        <v>200</v>
      </c>
      <c r="F114" s="21"/>
      <c r="G114" s="27">
        <f>1+SUM(G105:G111)</f>
        <v>10</v>
      </c>
      <c r="H114" s="5"/>
      <c r="I114" s="5"/>
      <c r="J114" s="29"/>
      <c r="K114" s="29"/>
      <c r="L114" s="29"/>
    </row>
    <row r="115" spans="1:12" ht="16.25" customHeight="1" x14ac:dyDescent="0.2">
      <c r="A115" s="7">
        <v>45951</v>
      </c>
      <c r="B115" s="61">
        <v>5</v>
      </c>
      <c r="C115" s="60"/>
      <c r="D115" s="76" t="s">
        <v>149</v>
      </c>
      <c r="E115" s="76" t="s">
        <v>150</v>
      </c>
      <c r="F115" s="21"/>
      <c r="G115" s="27"/>
      <c r="H115" s="5"/>
      <c r="I115" s="5"/>
      <c r="J115" s="29"/>
      <c r="K115" s="29"/>
      <c r="L115" s="29"/>
    </row>
    <row r="116" spans="1:12" ht="16.25" customHeight="1" x14ac:dyDescent="0.2">
      <c r="A116" s="7">
        <v>45952</v>
      </c>
      <c r="B116" s="61">
        <v>6</v>
      </c>
      <c r="C116" s="60"/>
      <c r="D116" s="76" t="s">
        <v>149</v>
      </c>
      <c r="E116" s="76" t="s">
        <v>150</v>
      </c>
      <c r="F116" s="21">
        <v>7</v>
      </c>
      <c r="G116" s="27"/>
      <c r="H116" s="5"/>
      <c r="I116" s="5"/>
      <c r="J116" s="29"/>
      <c r="K116" s="29"/>
      <c r="L116" s="29"/>
    </row>
    <row r="117" spans="1:12" ht="16.25" customHeight="1" x14ac:dyDescent="0.2">
      <c r="A117" s="7">
        <v>45953</v>
      </c>
      <c r="B117" s="61">
        <v>1</v>
      </c>
      <c r="C117" s="60"/>
      <c r="D117" s="76" t="s">
        <v>149</v>
      </c>
      <c r="E117" s="76" t="s">
        <v>150</v>
      </c>
      <c r="F117" s="21"/>
      <c r="G117" s="27"/>
      <c r="H117" s="5"/>
      <c r="I117" s="5"/>
      <c r="J117" s="29"/>
      <c r="K117" s="29"/>
      <c r="L117" s="29"/>
    </row>
    <row r="118" spans="1:12" ht="16.25" customHeight="1" x14ac:dyDescent="0.2">
      <c r="A118" s="46">
        <v>45954</v>
      </c>
      <c r="B118" s="66" t="s">
        <v>51</v>
      </c>
      <c r="C118" s="67" t="s">
        <v>69</v>
      </c>
      <c r="D118" s="80" t="s">
        <v>201</v>
      </c>
      <c r="E118" s="80"/>
      <c r="F118" s="48"/>
      <c r="G118" s="49"/>
      <c r="H118" s="50"/>
      <c r="I118" s="50"/>
      <c r="J118" s="51"/>
      <c r="K118" s="51"/>
      <c r="L118" s="51"/>
    </row>
    <row r="119" spans="1:12" ht="16.25" customHeight="1" x14ac:dyDescent="0.2">
      <c r="A119" s="10">
        <v>45955</v>
      </c>
      <c r="B119" s="56" t="s">
        <v>20</v>
      </c>
      <c r="C119" s="57"/>
      <c r="D119" s="74"/>
      <c r="E119" s="74"/>
      <c r="F119" s="20"/>
      <c r="G119" s="26"/>
      <c r="H119" s="8"/>
      <c r="I119" s="8"/>
      <c r="J119" s="29"/>
      <c r="K119" s="29"/>
      <c r="L119" s="29"/>
    </row>
    <row r="120" spans="1:12" ht="16.25" customHeight="1" x14ac:dyDescent="0.2">
      <c r="A120" s="10">
        <v>45956</v>
      </c>
      <c r="B120" s="56" t="s">
        <v>20</v>
      </c>
      <c r="C120" s="57"/>
      <c r="D120" s="74"/>
      <c r="E120" s="74"/>
      <c r="F120" s="20"/>
      <c r="G120" s="26"/>
      <c r="H120" s="8"/>
      <c r="I120" s="8"/>
      <c r="J120" s="29"/>
      <c r="K120" s="29"/>
      <c r="L120" s="29"/>
    </row>
    <row r="121" spans="1:12" ht="16.25" customHeight="1" x14ac:dyDescent="0.2">
      <c r="A121" s="7">
        <v>45957</v>
      </c>
      <c r="B121" s="61">
        <v>2</v>
      </c>
      <c r="C121" s="60"/>
      <c r="D121" s="76"/>
      <c r="E121" s="76"/>
      <c r="F121" s="21"/>
      <c r="G121" s="27">
        <f>1+SUM(G112:G118)</f>
        <v>11</v>
      </c>
      <c r="H121" s="5"/>
      <c r="I121" s="5"/>
      <c r="J121" s="29"/>
      <c r="K121" s="29"/>
      <c r="L121" s="29"/>
    </row>
    <row r="122" spans="1:12" ht="16.25" customHeight="1" x14ac:dyDescent="0.2">
      <c r="A122" s="7">
        <v>45958</v>
      </c>
      <c r="B122" s="61">
        <v>3</v>
      </c>
      <c r="C122" s="60"/>
      <c r="D122" s="76" t="s">
        <v>202</v>
      </c>
      <c r="E122" s="76"/>
      <c r="F122" s="21"/>
      <c r="G122" s="27"/>
      <c r="H122" s="5"/>
      <c r="I122" s="5"/>
      <c r="J122" s="29"/>
      <c r="K122" s="29"/>
      <c r="L122" s="29"/>
    </row>
    <row r="123" spans="1:12" ht="16.25" customHeight="1" x14ac:dyDescent="0.2">
      <c r="A123" s="7">
        <v>45959</v>
      </c>
      <c r="B123" s="61">
        <v>4</v>
      </c>
      <c r="C123" s="60"/>
      <c r="D123" s="76" t="s">
        <v>203</v>
      </c>
      <c r="E123" s="76"/>
      <c r="F123" s="21"/>
      <c r="G123" s="27"/>
      <c r="H123" s="5"/>
      <c r="I123" s="5"/>
      <c r="J123" s="29"/>
      <c r="K123" s="29"/>
      <c r="L123" s="29"/>
    </row>
    <row r="124" spans="1:12" ht="16.25" customHeight="1" x14ac:dyDescent="0.2">
      <c r="A124" s="7">
        <v>45960</v>
      </c>
      <c r="B124" s="61">
        <v>5</v>
      </c>
      <c r="C124" s="60"/>
      <c r="D124" s="76" t="s">
        <v>153</v>
      </c>
      <c r="E124" s="76"/>
      <c r="F124" s="21"/>
      <c r="G124" s="27"/>
      <c r="H124" s="5"/>
      <c r="I124" s="5"/>
      <c r="J124" s="29"/>
      <c r="K124" s="29"/>
      <c r="L124" s="29"/>
    </row>
    <row r="125" spans="1:12" ht="16.25" customHeight="1" x14ac:dyDescent="0.2">
      <c r="A125" s="7">
        <v>45961</v>
      </c>
      <c r="B125" s="61">
        <v>6</v>
      </c>
      <c r="C125" s="60"/>
      <c r="D125" s="76" t="s">
        <v>154</v>
      </c>
      <c r="E125" s="76"/>
      <c r="F125" s="21">
        <v>8</v>
      </c>
      <c r="G125" s="27"/>
      <c r="H125" s="5"/>
      <c r="I125" s="5"/>
      <c r="J125" s="29"/>
      <c r="K125" s="29"/>
      <c r="L125" s="29"/>
    </row>
    <row r="126" spans="1:12" ht="16.25" customHeight="1" x14ac:dyDescent="0.2">
      <c r="A126" s="10">
        <v>45962</v>
      </c>
      <c r="B126" s="56" t="s">
        <v>20</v>
      </c>
      <c r="C126" s="57"/>
      <c r="D126" s="74"/>
      <c r="E126" s="74"/>
      <c r="F126" s="20"/>
      <c r="G126" s="26"/>
      <c r="H126" s="8"/>
      <c r="I126" s="8"/>
      <c r="J126" s="29"/>
      <c r="K126" s="29"/>
      <c r="L126" s="29"/>
    </row>
    <row r="127" spans="1:12" ht="16.25" customHeight="1" x14ac:dyDescent="0.2">
      <c r="A127" s="10">
        <v>45963</v>
      </c>
      <c r="B127" s="56" t="s">
        <v>20</v>
      </c>
      <c r="C127" s="57"/>
      <c r="D127" s="74"/>
      <c r="E127" s="74"/>
      <c r="F127" s="20"/>
      <c r="G127" s="26"/>
      <c r="H127" s="8"/>
      <c r="I127" s="8"/>
      <c r="J127" s="29"/>
      <c r="K127" s="29"/>
      <c r="L127" s="29"/>
    </row>
    <row r="128" spans="1:12" ht="16.25" customHeight="1" x14ac:dyDescent="0.2">
      <c r="A128" s="10">
        <v>45964</v>
      </c>
      <c r="B128" s="56" t="s">
        <v>17</v>
      </c>
      <c r="C128" s="57"/>
      <c r="D128" s="74"/>
      <c r="E128" s="74"/>
      <c r="F128" s="20"/>
      <c r="G128" s="26"/>
      <c r="H128" s="8"/>
      <c r="I128" s="8"/>
      <c r="J128" s="29"/>
      <c r="K128" s="29"/>
      <c r="L128" s="29"/>
    </row>
    <row r="129" spans="1:12" ht="16.25" customHeight="1" x14ac:dyDescent="0.2">
      <c r="A129" s="7">
        <v>45965</v>
      </c>
      <c r="B129" s="61">
        <v>1</v>
      </c>
      <c r="C129" s="60"/>
      <c r="D129" s="76"/>
      <c r="E129" s="76"/>
      <c r="F129" s="21"/>
      <c r="G129" s="27">
        <f>1+SUM(G120:G126)</f>
        <v>12</v>
      </c>
      <c r="H129" s="5"/>
      <c r="I129" s="5"/>
      <c r="J129" s="29"/>
      <c r="K129" s="29"/>
      <c r="L129" s="29"/>
    </row>
    <row r="130" spans="1:12" ht="16.25" customHeight="1" x14ac:dyDescent="0.2">
      <c r="A130" s="7">
        <v>45966</v>
      </c>
      <c r="B130" s="61">
        <v>2</v>
      </c>
      <c r="C130" s="60"/>
      <c r="D130" s="76" t="s">
        <v>204</v>
      </c>
      <c r="E130" s="76"/>
      <c r="F130" s="21"/>
      <c r="G130" s="27"/>
      <c r="H130" s="5"/>
      <c r="I130" s="5"/>
      <c r="J130" s="29"/>
      <c r="K130" s="29"/>
      <c r="L130" s="29"/>
    </row>
    <row r="131" spans="1:12" ht="16.25" customHeight="1" x14ac:dyDescent="0.2">
      <c r="A131" s="7">
        <v>45967</v>
      </c>
      <c r="B131" s="61">
        <v>3</v>
      </c>
      <c r="C131" s="60"/>
      <c r="D131" s="76"/>
      <c r="E131" s="76"/>
      <c r="F131" s="21"/>
      <c r="G131" s="27"/>
      <c r="H131" s="5"/>
      <c r="I131" s="5"/>
      <c r="J131" s="29"/>
      <c r="K131" s="29"/>
      <c r="L131" s="29"/>
    </row>
    <row r="132" spans="1:12" ht="16.25" customHeight="1" x14ac:dyDescent="0.2">
      <c r="A132" s="7">
        <v>45968</v>
      </c>
      <c r="B132" s="61">
        <v>4</v>
      </c>
      <c r="C132" s="60"/>
      <c r="D132" s="76"/>
      <c r="E132" s="76"/>
      <c r="F132" s="21"/>
      <c r="G132" s="27"/>
      <c r="H132" s="5"/>
      <c r="I132" s="5"/>
      <c r="J132" s="29"/>
      <c r="K132" s="29"/>
      <c r="L132" s="29"/>
    </row>
    <row r="133" spans="1:12" ht="16.25" customHeight="1" x14ac:dyDescent="0.2">
      <c r="A133" s="10">
        <v>45969</v>
      </c>
      <c r="B133" s="56" t="s">
        <v>20</v>
      </c>
      <c r="C133" s="57"/>
      <c r="D133" s="74"/>
      <c r="E133" s="74"/>
      <c r="F133" s="20"/>
      <c r="G133" s="26"/>
      <c r="H133" s="8"/>
      <c r="I133" s="8"/>
      <c r="J133" s="29"/>
      <c r="K133" s="29"/>
      <c r="L133" s="29"/>
    </row>
    <row r="134" spans="1:12" ht="16.25" customHeight="1" x14ac:dyDescent="0.2">
      <c r="A134" s="10">
        <v>45970</v>
      </c>
      <c r="B134" s="56" t="s">
        <v>20</v>
      </c>
      <c r="C134" s="57"/>
      <c r="D134" s="74"/>
      <c r="E134" s="74"/>
      <c r="F134" s="20"/>
      <c r="G134" s="26"/>
      <c r="H134" s="8"/>
      <c r="I134" s="8"/>
      <c r="J134" s="29"/>
      <c r="K134" s="29"/>
      <c r="L134" s="29"/>
    </row>
    <row r="135" spans="1:12" ht="16.25" customHeight="1" x14ac:dyDescent="0.2">
      <c r="A135" s="7">
        <v>45971</v>
      </c>
      <c r="B135" s="61">
        <v>5</v>
      </c>
      <c r="C135" s="60"/>
      <c r="D135" s="76"/>
      <c r="E135" s="76"/>
      <c r="F135" s="21"/>
      <c r="G135" s="27">
        <f>1+SUM(G126:G132)</f>
        <v>13</v>
      </c>
      <c r="H135" s="5"/>
      <c r="I135" s="5"/>
      <c r="J135" s="29"/>
      <c r="K135" s="29"/>
      <c r="L135" s="29"/>
    </row>
    <row r="136" spans="1:12" ht="16.25" customHeight="1" x14ac:dyDescent="0.2">
      <c r="A136" s="7">
        <v>45972</v>
      </c>
      <c r="B136" s="61">
        <v>6</v>
      </c>
      <c r="C136" s="60"/>
      <c r="D136" s="76"/>
      <c r="E136" s="76"/>
      <c r="F136" s="21">
        <v>9</v>
      </c>
      <c r="G136" s="27"/>
      <c r="H136" s="5"/>
      <c r="I136" s="5"/>
      <c r="J136" s="29"/>
      <c r="K136" s="29"/>
      <c r="L136" s="29"/>
    </row>
    <row r="137" spans="1:12" ht="16.25" customHeight="1" x14ac:dyDescent="0.2">
      <c r="A137" s="7">
        <v>45973</v>
      </c>
      <c r="B137" s="61">
        <v>1</v>
      </c>
      <c r="C137" s="60"/>
      <c r="D137" s="76" t="s">
        <v>158</v>
      </c>
      <c r="E137" s="76"/>
      <c r="F137" s="21"/>
      <c r="G137" s="27"/>
      <c r="H137" s="5"/>
      <c r="I137" s="5"/>
      <c r="J137" s="29"/>
      <c r="K137" s="29"/>
      <c r="L137" s="29"/>
    </row>
    <row r="138" spans="1:12" ht="16.25" customHeight="1" x14ac:dyDescent="0.2">
      <c r="A138" s="7">
        <v>45974</v>
      </c>
      <c r="B138" s="61">
        <v>2</v>
      </c>
      <c r="C138" s="60"/>
      <c r="D138" s="76"/>
      <c r="E138" s="76"/>
      <c r="F138" s="21"/>
      <c r="G138" s="27"/>
      <c r="H138" s="5"/>
      <c r="I138" s="5"/>
      <c r="J138" s="29"/>
      <c r="K138" s="29"/>
      <c r="L138" s="29"/>
    </row>
    <row r="139" spans="1:12" ht="16.25" customHeight="1" x14ac:dyDescent="0.2">
      <c r="A139" s="7">
        <v>45975</v>
      </c>
      <c r="B139" s="61">
        <v>3</v>
      </c>
      <c r="C139" s="60"/>
      <c r="D139" s="76" t="s">
        <v>205</v>
      </c>
      <c r="E139" s="76"/>
      <c r="F139" s="21"/>
      <c r="G139" s="27"/>
      <c r="H139" s="5"/>
      <c r="I139" s="5"/>
      <c r="J139" s="29" t="s">
        <v>65</v>
      </c>
      <c r="K139" s="29"/>
      <c r="L139" s="29"/>
    </row>
    <row r="140" spans="1:12" ht="16.25" customHeight="1" x14ac:dyDescent="0.2">
      <c r="A140" s="10">
        <v>45976</v>
      </c>
      <c r="B140" s="56" t="s">
        <v>20</v>
      </c>
      <c r="C140" s="57"/>
      <c r="D140" s="74"/>
      <c r="E140" s="74"/>
      <c r="F140" s="20"/>
      <c r="G140" s="26"/>
      <c r="H140" s="8"/>
      <c r="I140" s="8"/>
      <c r="J140" s="29"/>
      <c r="K140" s="29"/>
      <c r="L140" s="29"/>
    </row>
    <row r="141" spans="1:12" ht="16.25" customHeight="1" x14ac:dyDescent="0.2">
      <c r="A141" s="10">
        <v>45977</v>
      </c>
      <c r="B141" s="56" t="s">
        <v>20</v>
      </c>
      <c r="C141" s="57"/>
      <c r="D141" s="74"/>
      <c r="E141" s="74"/>
      <c r="F141" s="20"/>
      <c r="G141" s="26"/>
      <c r="H141" s="8"/>
      <c r="I141" s="8"/>
      <c r="J141" s="29"/>
      <c r="K141" s="29"/>
      <c r="L141" s="29"/>
    </row>
    <row r="142" spans="1:12" ht="16.25" customHeight="1" x14ac:dyDescent="0.2">
      <c r="A142" s="10">
        <v>45978</v>
      </c>
      <c r="B142" s="56" t="s">
        <v>17</v>
      </c>
      <c r="C142" s="57"/>
      <c r="D142" s="74"/>
      <c r="E142" s="74"/>
      <c r="F142" s="20"/>
      <c r="G142" s="26"/>
      <c r="H142" s="8"/>
      <c r="I142" s="8"/>
      <c r="J142" s="29"/>
      <c r="K142" s="29"/>
      <c r="L142" s="29"/>
    </row>
    <row r="143" spans="1:12" ht="16.25" customHeight="1" x14ac:dyDescent="0.2">
      <c r="A143" s="7">
        <v>45979</v>
      </c>
      <c r="B143" s="61">
        <v>4</v>
      </c>
      <c r="C143" s="60"/>
      <c r="D143" s="76" t="s">
        <v>206</v>
      </c>
      <c r="E143" s="76"/>
      <c r="F143" s="21"/>
      <c r="G143" s="27">
        <f>1+SUM(G134:G140)</f>
        <v>14</v>
      </c>
      <c r="H143" s="5"/>
      <c r="I143" s="5"/>
      <c r="J143" s="29"/>
      <c r="K143" s="29"/>
      <c r="L143" s="29"/>
    </row>
    <row r="144" spans="1:12" ht="16.25" customHeight="1" x14ac:dyDescent="0.2">
      <c r="A144" s="7">
        <v>45980</v>
      </c>
      <c r="B144" s="61">
        <v>5</v>
      </c>
      <c r="C144" s="60"/>
      <c r="D144" s="76"/>
      <c r="E144" s="76"/>
      <c r="F144" s="21"/>
      <c r="G144" s="27"/>
      <c r="H144" s="5"/>
      <c r="I144" s="5"/>
      <c r="J144" s="29"/>
      <c r="K144" s="29"/>
      <c r="L144" s="29"/>
    </row>
    <row r="145" spans="1:12" ht="16.25" customHeight="1" x14ac:dyDescent="0.2">
      <c r="A145" s="7">
        <v>45981</v>
      </c>
      <c r="B145" s="61">
        <v>6</v>
      </c>
      <c r="C145" s="60"/>
      <c r="D145" s="76" t="s">
        <v>207</v>
      </c>
      <c r="E145" s="76" t="s">
        <v>159</v>
      </c>
      <c r="F145" s="21">
        <v>10</v>
      </c>
      <c r="G145" s="27"/>
      <c r="H145" s="5"/>
      <c r="I145" s="5"/>
      <c r="J145" s="29"/>
      <c r="K145" s="29"/>
      <c r="L145" s="29"/>
    </row>
    <row r="146" spans="1:12" ht="16.25" customHeight="1" x14ac:dyDescent="0.2">
      <c r="A146" s="7">
        <v>45982</v>
      </c>
      <c r="B146" s="61">
        <v>1</v>
      </c>
      <c r="C146" s="60"/>
      <c r="D146" s="76"/>
      <c r="E146" s="76" t="s">
        <v>159</v>
      </c>
      <c r="F146" s="21"/>
      <c r="G146" s="27"/>
      <c r="H146" s="5"/>
      <c r="I146" s="5"/>
      <c r="J146" s="29"/>
      <c r="K146" s="29"/>
      <c r="L146" s="29"/>
    </row>
    <row r="147" spans="1:12" ht="16.25" customHeight="1" x14ac:dyDescent="0.2">
      <c r="A147" s="10">
        <v>45983</v>
      </c>
      <c r="B147" s="56" t="s">
        <v>20</v>
      </c>
      <c r="C147" s="57"/>
      <c r="D147" s="74"/>
      <c r="E147" s="74"/>
      <c r="F147" s="20"/>
      <c r="G147" s="26"/>
      <c r="H147" s="8"/>
      <c r="I147" s="8"/>
      <c r="J147" s="29"/>
      <c r="K147" s="29"/>
      <c r="L147" s="29"/>
    </row>
    <row r="148" spans="1:12" ht="16.25" customHeight="1" x14ac:dyDescent="0.2">
      <c r="A148" s="10">
        <v>45984</v>
      </c>
      <c r="B148" s="56" t="s">
        <v>20</v>
      </c>
      <c r="C148" s="57"/>
      <c r="D148" s="74"/>
      <c r="E148" s="74"/>
      <c r="F148" s="20"/>
      <c r="G148" s="26"/>
      <c r="H148" s="8"/>
      <c r="I148" s="8"/>
      <c r="J148" s="29"/>
      <c r="K148" s="29"/>
      <c r="L148" s="29"/>
    </row>
    <row r="149" spans="1:12" ht="16.25" customHeight="1" x14ac:dyDescent="0.2">
      <c r="A149" s="7">
        <v>45985</v>
      </c>
      <c r="B149" s="61">
        <v>2</v>
      </c>
      <c r="C149" s="60"/>
      <c r="D149" s="76" t="s">
        <v>208</v>
      </c>
      <c r="E149" s="76" t="s">
        <v>159</v>
      </c>
      <c r="F149" s="21"/>
      <c r="G149" s="27">
        <f>1+SUM(G140:G146)</f>
        <v>15</v>
      </c>
      <c r="H149" s="5"/>
      <c r="I149" s="5"/>
      <c r="J149" s="29"/>
      <c r="K149" s="29"/>
      <c r="L149" s="29"/>
    </row>
    <row r="150" spans="1:12" ht="16.25" customHeight="1" x14ac:dyDescent="0.2">
      <c r="A150" s="7">
        <v>45986</v>
      </c>
      <c r="B150" s="61">
        <v>3</v>
      </c>
      <c r="C150" s="60"/>
      <c r="D150" s="76" t="s">
        <v>209</v>
      </c>
      <c r="E150" s="76"/>
      <c r="F150" s="21"/>
      <c r="G150" s="27"/>
      <c r="H150" s="5"/>
      <c r="I150" s="5"/>
      <c r="J150" s="29"/>
      <c r="K150" s="29"/>
      <c r="L150" s="29"/>
    </row>
    <row r="151" spans="1:12" ht="16.25" customHeight="1" x14ac:dyDescent="0.2">
      <c r="A151" s="7">
        <v>45987</v>
      </c>
      <c r="B151" s="61">
        <v>4</v>
      </c>
      <c r="C151" s="60"/>
      <c r="D151" s="76"/>
      <c r="E151" s="76"/>
      <c r="F151" s="21"/>
      <c r="G151" s="27"/>
      <c r="H151" s="5"/>
      <c r="I151" s="5"/>
      <c r="J151" s="29"/>
      <c r="K151" s="29"/>
      <c r="L151" s="29"/>
    </row>
    <row r="152" spans="1:12" ht="16.25" customHeight="1" x14ac:dyDescent="0.2">
      <c r="A152" s="7">
        <v>45988</v>
      </c>
      <c r="B152" s="61">
        <v>5</v>
      </c>
      <c r="C152" s="60"/>
      <c r="D152" s="76"/>
      <c r="E152" s="76"/>
      <c r="F152" s="21"/>
      <c r="G152" s="27"/>
      <c r="H152" s="5"/>
      <c r="I152" s="5"/>
      <c r="J152" s="29"/>
      <c r="K152" s="29"/>
      <c r="L152" s="29"/>
    </row>
    <row r="153" spans="1:12" ht="16.25" customHeight="1" x14ac:dyDescent="0.2">
      <c r="A153" s="7">
        <v>45989</v>
      </c>
      <c r="B153" s="58" t="s">
        <v>51</v>
      </c>
      <c r="C153" s="60" t="s">
        <v>162</v>
      </c>
      <c r="D153" s="76" t="s">
        <v>162</v>
      </c>
      <c r="E153" s="76"/>
      <c r="F153" s="21"/>
      <c r="G153" s="27"/>
      <c r="H153" s="5"/>
      <c r="I153" s="5"/>
      <c r="J153" s="29"/>
      <c r="K153" s="29"/>
      <c r="L153" s="29"/>
    </row>
    <row r="154" spans="1:12" ht="16.25" customHeight="1" x14ac:dyDescent="0.2">
      <c r="A154" s="10">
        <v>45990</v>
      </c>
      <c r="B154" s="56" t="s">
        <v>20</v>
      </c>
      <c r="C154" s="57"/>
      <c r="D154" s="74"/>
      <c r="E154" s="74"/>
      <c r="F154" s="20"/>
      <c r="G154" s="26"/>
      <c r="H154" s="8"/>
      <c r="I154" s="8"/>
      <c r="J154" s="29"/>
      <c r="K154" s="29"/>
      <c r="L154" s="29"/>
    </row>
    <row r="155" spans="1:12" ht="16.25" customHeight="1" x14ac:dyDescent="0.2">
      <c r="A155" s="10">
        <v>45991</v>
      </c>
      <c r="B155" s="56" t="s">
        <v>20</v>
      </c>
      <c r="C155" s="57"/>
      <c r="D155" s="74"/>
      <c r="E155" s="74"/>
      <c r="F155" s="20"/>
      <c r="G155" s="26"/>
      <c r="H155" s="8"/>
      <c r="I155" s="8"/>
      <c r="J155" s="29"/>
      <c r="K155" s="29"/>
      <c r="L155" s="29"/>
    </row>
    <row r="156" spans="1:12" ht="16.25" customHeight="1" x14ac:dyDescent="0.2">
      <c r="A156" s="7">
        <v>45992</v>
      </c>
      <c r="B156" s="61">
        <v>6</v>
      </c>
      <c r="C156" s="60"/>
      <c r="D156" s="76"/>
      <c r="E156" s="76"/>
      <c r="F156" s="21">
        <v>11</v>
      </c>
      <c r="G156" s="27">
        <f>1+SUM(G147:G153)</f>
        <v>16</v>
      </c>
      <c r="H156" s="5"/>
      <c r="I156" s="5"/>
      <c r="J156" s="29"/>
      <c r="K156" s="29"/>
      <c r="L156" s="29"/>
    </row>
    <row r="157" spans="1:12" ht="16.25" customHeight="1" x14ac:dyDescent="0.2">
      <c r="A157" s="7">
        <v>45993</v>
      </c>
      <c r="B157" s="61">
        <v>1</v>
      </c>
      <c r="C157" s="60"/>
      <c r="D157" s="76"/>
      <c r="E157" s="76"/>
      <c r="F157" s="21"/>
      <c r="G157" s="27"/>
      <c r="H157" s="5"/>
      <c r="I157" s="5"/>
      <c r="J157" s="29"/>
      <c r="K157" s="29"/>
      <c r="L157" s="29"/>
    </row>
    <row r="158" spans="1:12" ht="16.25" customHeight="1" x14ac:dyDescent="0.2">
      <c r="A158" s="7">
        <v>45994</v>
      </c>
      <c r="B158" s="61">
        <v>2</v>
      </c>
      <c r="C158" s="60" t="s">
        <v>77</v>
      </c>
      <c r="D158" s="76"/>
      <c r="E158" s="76"/>
      <c r="F158" s="21"/>
      <c r="G158" s="27"/>
      <c r="H158" s="5"/>
      <c r="I158" s="5"/>
      <c r="J158" s="29"/>
      <c r="K158" s="29"/>
      <c r="L158" s="29"/>
    </row>
    <row r="159" spans="1:12" ht="16.25" customHeight="1" x14ac:dyDescent="0.2">
      <c r="A159" s="7">
        <v>45995</v>
      </c>
      <c r="B159" s="61">
        <v>3</v>
      </c>
      <c r="C159" s="60" t="s">
        <v>77</v>
      </c>
      <c r="D159" s="76"/>
      <c r="E159" s="76"/>
      <c r="F159" s="21"/>
      <c r="G159" s="27"/>
      <c r="H159" s="5"/>
      <c r="I159" s="5"/>
      <c r="J159" s="29"/>
      <c r="K159" s="29"/>
      <c r="L159" s="29"/>
    </row>
    <row r="160" spans="1:12" ht="16.25" customHeight="1" x14ac:dyDescent="0.2">
      <c r="A160" s="7">
        <v>45996</v>
      </c>
      <c r="B160" s="61">
        <v>4</v>
      </c>
      <c r="C160" s="60" t="s">
        <v>77</v>
      </c>
      <c r="D160" s="76"/>
      <c r="E160" s="76"/>
      <c r="F160" s="21"/>
      <c r="G160" s="27"/>
      <c r="H160" s="5"/>
      <c r="I160" s="5"/>
      <c r="J160" s="29"/>
      <c r="K160" s="29"/>
      <c r="L160" s="29"/>
    </row>
    <row r="161" spans="1:12" ht="16.25" customHeight="1" x14ac:dyDescent="0.2">
      <c r="A161" s="10">
        <v>45997</v>
      </c>
      <c r="B161" s="56" t="s">
        <v>20</v>
      </c>
      <c r="C161" s="57"/>
      <c r="D161" s="74"/>
      <c r="E161" s="74"/>
      <c r="F161" s="20"/>
      <c r="G161" s="26"/>
      <c r="H161" s="8"/>
      <c r="I161" s="8"/>
      <c r="J161" s="29"/>
      <c r="K161" s="29"/>
      <c r="L161" s="29"/>
    </row>
    <row r="162" spans="1:12" ht="16.25" customHeight="1" x14ac:dyDescent="0.2">
      <c r="A162" s="10">
        <v>45998</v>
      </c>
      <c r="B162" s="56" t="s">
        <v>20</v>
      </c>
      <c r="C162" s="57"/>
      <c r="D162" s="74"/>
      <c r="E162" s="74"/>
      <c r="F162" s="20"/>
      <c r="G162" s="26"/>
      <c r="H162" s="8"/>
      <c r="I162" s="8"/>
      <c r="J162" s="29"/>
      <c r="K162" s="29"/>
      <c r="L162" s="29"/>
    </row>
    <row r="163" spans="1:12" ht="16.25" customHeight="1" x14ac:dyDescent="0.2">
      <c r="A163" s="10">
        <v>45999</v>
      </c>
      <c r="B163" s="56" t="s">
        <v>17</v>
      </c>
      <c r="C163" s="57"/>
      <c r="D163" s="74"/>
      <c r="E163" s="74"/>
      <c r="F163" s="20"/>
      <c r="G163" s="26"/>
      <c r="H163" s="8"/>
      <c r="I163" s="8"/>
      <c r="J163" s="29"/>
      <c r="K163" s="29"/>
      <c r="L163" s="29"/>
    </row>
    <row r="164" spans="1:12" ht="16.25" customHeight="1" x14ac:dyDescent="0.2">
      <c r="A164" s="7">
        <v>46000</v>
      </c>
      <c r="B164" s="61">
        <v>5</v>
      </c>
      <c r="C164" s="60" t="s">
        <v>77</v>
      </c>
      <c r="D164" s="76"/>
      <c r="E164" s="76"/>
      <c r="F164" s="21"/>
      <c r="G164" s="27">
        <f>1+SUM(G155:G161)</f>
        <v>17</v>
      </c>
      <c r="H164" s="5"/>
      <c r="I164" s="5"/>
      <c r="J164" s="29"/>
      <c r="K164" s="29"/>
      <c r="L164" s="29"/>
    </row>
    <row r="165" spans="1:12" ht="16.25" customHeight="1" x14ac:dyDescent="0.2">
      <c r="A165" s="7">
        <v>46001</v>
      </c>
      <c r="B165" s="61">
        <v>6</v>
      </c>
      <c r="C165" s="60" t="s">
        <v>77</v>
      </c>
      <c r="D165" s="76"/>
      <c r="E165" s="76"/>
      <c r="F165" s="21">
        <v>12</v>
      </c>
      <c r="G165" s="27"/>
      <c r="H165" s="5"/>
      <c r="I165" s="5"/>
      <c r="J165" s="29"/>
      <c r="K165" s="29"/>
      <c r="L165" s="29"/>
    </row>
    <row r="166" spans="1:12" ht="16.25" customHeight="1" x14ac:dyDescent="0.2">
      <c r="A166" s="7">
        <v>46002</v>
      </c>
      <c r="B166" s="61">
        <v>1</v>
      </c>
      <c r="C166" s="60" t="s">
        <v>77</v>
      </c>
      <c r="D166" s="76"/>
      <c r="E166" s="76"/>
      <c r="F166" s="21"/>
      <c r="G166" s="27"/>
      <c r="H166" s="5"/>
      <c r="I166" s="5"/>
      <c r="J166" s="29"/>
      <c r="K166" s="29" t="s">
        <v>79</v>
      </c>
      <c r="L166" s="29"/>
    </row>
    <row r="167" spans="1:12" ht="16.25" customHeight="1" x14ac:dyDescent="0.2">
      <c r="A167" s="7">
        <v>46003</v>
      </c>
      <c r="B167" s="61">
        <v>2</v>
      </c>
      <c r="C167" s="60" t="s">
        <v>77</v>
      </c>
      <c r="D167" s="76"/>
      <c r="E167" s="76"/>
      <c r="F167" s="21"/>
      <c r="G167" s="27"/>
      <c r="H167" s="5"/>
      <c r="I167" s="5"/>
      <c r="J167" s="29"/>
      <c r="K167" s="29" t="s">
        <v>80</v>
      </c>
      <c r="L167" s="29"/>
    </row>
    <row r="168" spans="1:12" ht="16.25" customHeight="1" x14ac:dyDescent="0.2">
      <c r="A168" s="10">
        <v>46004</v>
      </c>
      <c r="B168" s="56" t="s">
        <v>20</v>
      </c>
      <c r="C168" s="57"/>
      <c r="D168" s="74"/>
      <c r="E168" s="74"/>
      <c r="F168" s="20"/>
      <c r="G168" s="26"/>
      <c r="H168" s="8"/>
      <c r="I168" s="8"/>
      <c r="J168" s="29" t="s">
        <v>81</v>
      </c>
      <c r="K168" s="29" t="s">
        <v>81</v>
      </c>
      <c r="L168" s="29" t="s">
        <v>81</v>
      </c>
    </row>
    <row r="169" spans="1:12" ht="16.25" customHeight="1" x14ac:dyDescent="0.2">
      <c r="A169" s="10">
        <v>46005</v>
      </c>
      <c r="B169" s="56" t="s">
        <v>20</v>
      </c>
      <c r="C169" s="57"/>
      <c r="D169" s="74"/>
      <c r="E169" s="74"/>
      <c r="F169" s="20"/>
      <c r="G169" s="26"/>
      <c r="H169" s="8"/>
      <c r="I169" s="8"/>
      <c r="J169" s="29" t="s">
        <v>81</v>
      </c>
      <c r="K169" s="29" t="s">
        <v>81</v>
      </c>
      <c r="L169" s="29" t="s">
        <v>81</v>
      </c>
    </row>
    <row r="170" spans="1:12" ht="16.25" customHeight="1" x14ac:dyDescent="0.2">
      <c r="A170" s="7">
        <v>46006</v>
      </c>
      <c r="B170" s="58" t="s">
        <v>51</v>
      </c>
      <c r="C170" s="60" t="s">
        <v>82</v>
      </c>
      <c r="D170" s="76" t="s">
        <v>163</v>
      </c>
      <c r="E170" s="76"/>
      <c r="F170" s="21"/>
      <c r="G170" s="27">
        <f>1+SUM(G161:G167)</f>
        <v>18</v>
      </c>
      <c r="H170" s="5"/>
      <c r="I170" s="5"/>
      <c r="J170" s="29" t="s">
        <v>81</v>
      </c>
      <c r="K170" s="29" t="s">
        <v>81</v>
      </c>
      <c r="L170" s="29" t="s">
        <v>81</v>
      </c>
    </row>
    <row r="171" spans="1:12" ht="16.25" customHeight="1" x14ac:dyDescent="0.2">
      <c r="A171" s="37">
        <v>46007</v>
      </c>
      <c r="B171" s="68" t="s">
        <v>51</v>
      </c>
      <c r="C171" s="63" t="s">
        <v>83</v>
      </c>
      <c r="D171" s="78" t="s">
        <v>163</v>
      </c>
      <c r="E171" s="78"/>
      <c r="F171" s="40"/>
      <c r="G171" s="41"/>
      <c r="H171" s="42"/>
      <c r="I171" s="42"/>
      <c r="J171" s="43" t="s">
        <v>81</v>
      </c>
      <c r="K171" s="43" t="s">
        <v>81</v>
      </c>
      <c r="L171" s="43" t="s">
        <v>81</v>
      </c>
    </row>
    <row r="172" spans="1:12" ht="16.25" customHeight="1" x14ac:dyDescent="0.2">
      <c r="A172" s="10">
        <v>46008</v>
      </c>
      <c r="B172" s="56" t="s">
        <v>84</v>
      </c>
      <c r="C172" s="57"/>
      <c r="D172" s="74"/>
      <c r="E172" s="74"/>
      <c r="F172" s="20"/>
      <c r="G172" s="26"/>
      <c r="H172" s="8"/>
      <c r="I172" s="8"/>
      <c r="J172" s="29" t="s">
        <v>81</v>
      </c>
      <c r="K172" s="29" t="s">
        <v>81</v>
      </c>
      <c r="L172" s="29" t="s">
        <v>81</v>
      </c>
    </row>
    <row r="173" spans="1:12" ht="16.25" customHeight="1" x14ac:dyDescent="0.2">
      <c r="A173" s="10">
        <v>46009</v>
      </c>
      <c r="B173" s="56" t="s">
        <v>84</v>
      </c>
      <c r="C173" s="57"/>
      <c r="D173" s="74"/>
      <c r="E173" s="74"/>
      <c r="F173" s="20"/>
      <c r="G173" s="26"/>
      <c r="H173" s="8"/>
      <c r="I173" s="8"/>
      <c r="J173" s="29" t="s">
        <v>81</v>
      </c>
      <c r="K173" s="29" t="s">
        <v>81</v>
      </c>
      <c r="L173" s="29" t="s">
        <v>81</v>
      </c>
    </row>
    <row r="174" spans="1:12" ht="16.25" customHeight="1" x14ac:dyDescent="0.2">
      <c r="A174" s="10">
        <v>46010</v>
      </c>
      <c r="B174" s="56" t="s">
        <v>84</v>
      </c>
      <c r="C174" s="57"/>
      <c r="D174" s="74"/>
      <c r="E174" s="74"/>
      <c r="F174" s="20"/>
      <c r="G174" s="26"/>
      <c r="H174" s="8"/>
      <c r="I174" s="8"/>
      <c r="J174" s="29" t="s">
        <v>81</v>
      </c>
      <c r="K174" s="29" t="s">
        <v>81</v>
      </c>
      <c r="L174" s="29" t="s">
        <v>81</v>
      </c>
    </row>
    <row r="175" spans="1:12" ht="16.25" customHeight="1" x14ac:dyDescent="0.2">
      <c r="A175" s="10">
        <v>46011</v>
      </c>
      <c r="B175" s="56" t="s">
        <v>20</v>
      </c>
      <c r="C175" s="57"/>
      <c r="D175" s="74"/>
      <c r="E175" s="74"/>
      <c r="F175" s="20"/>
      <c r="G175" s="26"/>
      <c r="H175" s="8"/>
      <c r="I175" s="8"/>
      <c r="J175" s="29" t="s">
        <v>81</v>
      </c>
      <c r="K175" s="29" t="s">
        <v>81</v>
      </c>
      <c r="L175" s="29" t="s">
        <v>81</v>
      </c>
    </row>
    <row r="176" spans="1:12" ht="16.25" customHeight="1" x14ac:dyDescent="0.2">
      <c r="A176" s="10">
        <v>46012</v>
      </c>
      <c r="B176" s="56" t="s">
        <v>20</v>
      </c>
      <c r="C176" s="57"/>
      <c r="D176" s="74"/>
      <c r="E176" s="74"/>
      <c r="F176" s="20"/>
      <c r="G176" s="26"/>
      <c r="H176" s="8"/>
      <c r="I176" s="8"/>
      <c r="J176" s="29" t="s">
        <v>81</v>
      </c>
      <c r="K176" s="29" t="s">
        <v>81</v>
      </c>
      <c r="L176" s="29" t="s">
        <v>81</v>
      </c>
    </row>
    <row r="177" spans="1:12" ht="16.25" customHeight="1" x14ac:dyDescent="0.2">
      <c r="A177" s="10">
        <v>46013</v>
      </c>
      <c r="B177" s="56" t="s">
        <v>84</v>
      </c>
      <c r="C177" s="57"/>
      <c r="D177" s="74"/>
      <c r="E177" s="74"/>
      <c r="F177" s="20"/>
      <c r="G177" s="26"/>
      <c r="H177" s="8"/>
      <c r="I177" s="8"/>
      <c r="J177" s="29" t="s">
        <v>81</v>
      </c>
      <c r="K177" s="29" t="s">
        <v>81</v>
      </c>
      <c r="L177" s="29" t="s">
        <v>81</v>
      </c>
    </row>
    <row r="178" spans="1:12" ht="16.25" customHeight="1" x14ac:dyDescent="0.2">
      <c r="A178" s="10">
        <v>46014</v>
      </c>
      <c r="B178" s="56" t="s">
        <v>84</v>
      </c>
      <c r="C178" s="57"/>
      <c r="D178" s="74"/>
      <c r="E178" s="74"/>
      <c r="F178" s="20"/>
      <c r="G178" s="26"/>
      <c r="H178" s="8"/>
      <c r="I178" s="8"/>
      <c r="J178" s="29" t="s">
        <v>81</v>
      </c>
      <c r="K178" s="29" t="s">
        <v>81</v>
      </c>
      <c r="L178" s="29" t="s">
        <v>81</v>
      </c>
    </row>
    <row r="179" spans="1:12" ht="16.25" customHeight="1" x14ac:dyDescent="0.2">
      <c r="A179" s="10">
        <v>46015</v>
      </c>
      <c r="B179" s="56" t="s">
        <v>84</v>
      </c>
      <c r="C179" s="57"/>
      <c r="D179" s="74"/>
      <c r="E179" s="74"/>
      <c r="F179" s="20"/>
      <c r="G179" s="26"/>
      <c r="H179" s="8"/>
      <c r="I179" s="8"/>
      <c r="J179" s="29" t="s">
        <v>81</v>
      </c>
      <c r="K179" s="29" t="s">
        <v>81</v>
      </c>
      <c r="L179" s="29" t="s">
        <v>81</v>
      </c>
    </row>
    <row r="180" spans="1:12" ht="16.25" customHeight="1" x14ac:dyDescent="0.2">
      <c r="A180" s="10">
        <v>46016</v>
      </c>
      <c r="B180" s="56" t="s">
        <v>17</v>
      </c>
      <c r="C180" s="57"/>
      <c r="D180" s="74"/>
      <c r="E180" s="74"/>
      <c r="F180" s="20"/>
      <c r="G180" s="26"/>
      <c r="H180" s="8"/>
      <c r="I180" s="8"/>
      <c r="J180" s="29" t="s">
        <v>81</v>
      </c>
      <c r="K180" s="29" t="s">
        <v>81</v>
      </c>
      <c r="L180" s="29" t="s">
        <v>81</v>
      </c>
    </row>
    <row r="181" spans="1:12" ht="16.25" customHeight="1" x14ac:dyDescent="0.2">
      <c r="A181" s="10">
        <v>46017</v>
      </c>
      <c r="B181" s="56" t="s">
        <v>84</v>
      </c>
      <c r="C181" s="57"/>
      <c r="D181" s="74"/>
      <c r="E181" s="74"/>
      <c r="F181" s="20"/>
      <c r="G181" s="26"/>
      <c r="H181" s="8"/>
      <c r="I181" s="8"/>
      <c r="J181" s="29" t="s">
        <v>81</v>
      </c>
      <c r="K181" s="29" t="s">
        <v>81</v>
      </c>
      <c r="L181" s="29" t="s">
        <v>81</v>
      </c>
    </row>
    <row r="182" spans="1:12" ht="16.25" customHeight="1" x14ac:dyDescent="0.2">
      <c r="A182" s="10">
        <v>46018</v>
      </c>
      <c r="B182" s="56" t="s">
        <v>20</v>
      </c>
      <c r="C182" s="57"/>
      <c r="D182" s="74"/>
      <c r="E182" s="74"/>
      <c r="F182" s="20"/>
      <c r="G182" s="26"/>
      <c r="H182" s="8"/>
      <c r="I182" s="8"/>
      <c r="J182" s="29" t="s">
        <v>81</v>
      </c>
      <c r="K182" s="29" t="s">
        <v>81</v>
      </c>
      <c r="L182" s="29" t="s">
        <v>81</v>
      </c>
    </row>
    <row r="183" spans="1:12" ht="16.25" customHeight="1" x14ac:dyDescent="0.2">
      <c r="A183" s="10">
        <v>46019</v>
      </c>
      <c r="B183" s="56" t="s">
        <v>20</v>
      </c>
      <c r="C183" s="57"/>
      <c r="D183" s="74"/>
      <c r="E183" s="74"/>
      <c r="F183" s="20"/>
      <c r="G183" s="26"/>
      <c r="H183" s="8"/>
      <c r="I183" s="8"/>
      <c r="J183" s="29" t="s">
        <v>81</v>
      </c>
      <c r="K183" s="29" t="s">
        <v>81</v>
      </c>
      <c r="L183" s="29" t="s">
        <v>81</v>
      </c>
    </row>
    <row r="184" spans="1:12" ht="16.25" customHeight="1" x14ac:dyDescent="0.2">
      <c r="A184" s="10">
        <v>46020</v>
      </c>
      <c r="B184" s="56" t="s">
        <v>84</v>
      </c>
      <c r="C184" s="57"/>
      <c r="D184" s="74"/>
      <c r="E184" s="74"/>
      <c r="F184" s="20"/>
      <c r="G184" s="26"/>
      <c r="H184" s="8"/>
      <c r="I184" s="8"/>
      <c r="J184" s="29" t="s">
        <v>81</v>
      </c>
      <c r="K184" s="29" t="s">
        <v>81</v>
      </c>
      <c r="L184" s="29" t="s">
        <v>81</v>
      </c>
    </row>
    <row r="185" spans="1:12" ht="16.25" customHeight="1" x14ac:dyDescent="0.2">
      <c r="A185" s="10">
        <v>46021</v>
      </c>
      <c r="B185" s="56" t="s">
        <v>84</v>
      </c>
      <c r="C185" s="57"/>
      <c r="D185" s="74"/>
      <c r="E185" s="74"/>
      <c r="F185" s="20"/>
      <c r="G185" s="26"/>
      <c r="H185" s="8"/>
      <c r="I185" s="8"/>
      <c r="J185" s="29" t="s">
        <v>81</v>
      </c>
      <c r="K185" s="29" t="s">
        <v>81</v>
      </c>
      <c r="L185" s="29" t="s">
        <v>81</v>
      </c>
    </row>
    <row r="186" spans="1:12" ht="16.25" customHeight="1" x14ac:dyDescent="0.2">
      <c r="A186" s="10">
        <v>46022</v>
      </c>
      <c r="B186" s="56" t="s">
        <v>84</v>
      </c>
      <c r="C186" s="57"/>
      <c r="D186" s="74"/>
      <c r="E186" s="74"/>
      <c r="F186" s="20"/>
      <c r="G186" s="26"/>
      <c r="H186" s="8"/>
      <c r="I186" s="8"/>
      <c r="J186" s="29" t="s">
        <v>81</v>
      </c>
      <c r="K186" s="29" t="s">
        <v>81</v>
      </c>
      <c r="L186" s="29" t="s">
        <v>81</v>
      </c>
    </row>
    <row r="187" spans="1:12" ht="16.25" customHeight="1" x14ac:dyDescent="0.2">
      <c r="A187" s="10">
        <v>46023</v>
      </c>
      <c r="B187" s="56" t="s">
        <v>17</v>
      </c>
      <c r="C187" s="57"/>
      <c r="D187" s="74"/>
      <c r="E187" s="74"/>
      <c r="F187" s="20"/>
      <c r="G187" s="26"/>
      <c r="H187" s="8"/>
      <c r="I187" s="8"/>
      <c r="J187" s="29" t="s">
        <v>81</v>
      </c>
      <c r="K187" s="29" t="s">
        <v>81</v>
      </c>
      <c r="L187" s="29" t="s">
        <v>81</v>
      </c>
    </row>
    <row r="188" spans="1:12" ht="16.25" customHeight="1" x14ac:dyDescent="0.2">
      <c r="A188" s="10">
        <v>46024</v>
      </c>
      <c r="B188" s="56" t="s">
        <v>84</v>
      </c>
      <c r="C188" s="57"/>
      <c r="D188" s="74"/>
      <c r="E188" s="74"/>
      <c r="F188" s="20"/>
      <c r="G188" s="26"/>
      <c r="H188" s="8"/>
      <c r="I188" s="8"/>
      <c r="J188" s="29" t="s">
        <v>81</v>
      </c>
      <c r="K188" s="29" t="s">
        <v>81</v>
      </c>
      <c r="L188" s="29" t="s">
        <v>81</v>
      </c>
    </row>
    <row r="189" spans="1:12" ht="16.25" customHeight="1" x14ac:dyDescent="0.2">
      <c r="A189" s="10">
        <v>46025</v>
      </c>
      <c r="B189" s="56" t="s">
        <v>20</v>
      </c>
      <c r="C189" s="57"/>
      <c r="D189" s="74"/>
      <c r="E189" s="74"/>
      <c r="F189" s="20"/>
      <c r="G189" s="26"/>
      <c r="H189" s="8"/>
      <c r="I189" s="8"/>
      <c r="J189" s="29" t="s">
        <v>81</v>
      </c>
      <c r="K189" s="29" t="s">
        <v>81</v>
      </c>
      <c r="L189" s="29" t="s">
        <v>81</v>
      </c>
    </row>
    <row r="190" spans="1:12" ht="16.25" customHeight="1" x14ac:dyDescent="0.2">
      <c r="A190" s="10">
        <v>46026</v>
      </c>
      <c r="B190" s="56" t="s">
        <v>20</v>
      </c>
      <c r="C190" s="57"/>
      <c r="D190" s="74"/>
      <c r="E190" s="74"/>
      <c r="F190" s="20"/>
      <c r="G190" s="26"/>
      <c r="H190" s="8"/>
      <c r="I190" s="8"/>
      <c r="J190" s="29" t="s">
        <v>81</v>
      </c>
      <c r="K190" s="29" t="s">
        <v>81</v>
      </c>
      <c r="L190" s="29" t="s">
        <v>81</v>
      </c>
    </row>
    <row r="191" spans="1:12" ht="16.25" customHeight="1" x14ac:dyDescent="0.2">
      <c r="A191" s="10">
        <v>46027</v>
      </c>
      <c r="B191" s="56" t="s">
        <v>84</v>
      </c>
      <c r="C191" s="57"/>
      <c r="D191" s="74"/>
      <c r="E191" s="74"/>
      <c r="F191" s="20"/>
      <c r="G191" s="26"/>
      <c r="H191" s="8"/>
      <c r="I191" s="8"/>
      <c r="J191" s="29" t="s">
        <v>81</v>
      </c>
      <c r="K191" s="29" t="s">
        <v>81</v>
      </c>
      <c r="L191" s="29" t="s">
        <v>81</v>
      </c>
    </row>
    <row r="192" spans="1:12" ht="16.25" customHeight="1" x14ac:dyDescent="0.2">
      <c r="A192" s="10">
        <v>46028</v>
      </c>
      <c r="B192" s="56" t="s">
        <v>84</v>
      </c>
      <c r="C192" s="57"/>
      <c r="D192" s="74"/>
      <c r="E192" s="74"/>
      <c r="F192" s="20"/>
      <c r="G192" s="26"/>
      <c r="H192" s="8"/>
      <c r="I192" s="8"/>
      <c r="J192" s="29" t="s">
        <v>81</v>
      </c>
      <c r="K192" s="29" t="s">
        <v>81</v>
      </c>
      <c r="L192" s="29" t="s">
        <v>81</v>
      </c>
    </row>
    <row r="193" spans="1:12" ht="16.25" customHeight="1" x14ac:dyDescent="0.2">
      <c r="A193" s="17">
        <v>46029</v>
      </c>
      <c r="B193" s="64" t="s">
        <v>85</v>
      </c>
      <c r="C193" s="65"/>
      <c r="D193" s="79"/>
      <c r="E193" s="79"/>
      <c r="F193" s="22"/>
      <c r="G193" s="28"/>
      <c r="H193" s="19"/>
      <c r="I193" s="19"/>
      <c r="J193" s="32" t="s">
        <v>81</v>
      </c>
      <c r="K193" s="32" t="s">
        <v>81</v>
      </c>
      <c r="L193" s="32" t="s">
        <v>81</v>
      </c>
    </row>
    <row r="194" spans="1:12" ht="16.25" customHeight="1" x14ac:dyDescent="0.2">
      <c r="A194" s="7">
        <v>46030</v>
      </c>
      <c r="B194" s="61">
        <v>3</v>
      </c>
      <c r="C194" s="60"/>
      <c r="D194" s="76"/>
      <c r="E194" s="76"/>
      <c r="F194" s="21"/>
      <c r="G194" s="27">
        <f>1+SUM(G169:G175)</f>
        <v>19</v>
      </c>
      <c r="H194" s="5"/>
      <c r="I194" s="5"/>
      <c r="J194" s="29" t="s">
        <v>81</v>
      </c>
      <c r="K194" s="29" t="s">
        <v>81</v>
      </c>
      <c r="L194" s="29" t="s">
        <v>81</v>
      </c>
    </row>
    <row r="195" spans="1:12" ht="16.25" customHeight="1" x14ac:dyDescent="0.2">
      <c r="A195" s="7">
        <v>46031</v>
      </c>
      <c r="B195" s="61">
        <v>4</v>
      </c>
      <c r="C195" s="60"/>
      <c r="D195" s="76" t="s">
        <v>148</v>
      </c>
      <c r="E195" s="76"/>
      <c r="F195" s="21"/>
      <c r="G195" s="27"/>
      <c r="H195" s="5"/>
      <c r="I195" s="5"/>
      <c r="J195" s="29" t="s">
        <v>81</v>
      </c>
      <c r="K195" s="29" t="s">
        <v>81</v>
      </c>
      <c r="L195" s="29" t="s">
        <v>81</v>
      </c>
    </row>
    <row r="196" spans="1:12" ht="16.25" customHeight="1" x14ac:dyDescent="0.2">
      <c r="A196" s="10">
        <v>46032</v>
      </c>
      <c r="B196" s="56" t="s">
        <v>20</v>
      </c>
      <c r="C196" s="57"/>
      <c r="D196" s="74"/>
      <c r="E196" s="74"/>
      <c r="F196" s="20"/>
      <c r="G196" s="26"/>
      <c r="H196" s="8"/>
      <c r="I196" s="8"/>
      <c r="J196" s="29" t="s">
        <v>81</v>
      </c>
      <c r="K196" s="29" t="s">
        <v>81</v>
      </c>
      <c r="L196" s="29" t="s">
        <v>81</v>
      </c>
    </row>
    <row r="197" spans="1:12" ht="16.25" customHeight="1" x14ac:dyDescent="0.2">
      <c r="A197" s="10">
        <v>46033</v>
      </c>
      <c r="B197" s="56" t="s">
        <v>20</v>
      </c>
      <c r="C197" s="57"/>
      <c r="D197" s="74"/>
      <c r="E197" s="74"/>
      <c r="F197" s="20"/>
      <c r="G197" s="26"/>
      <c r="H197" s="8"/>
      <c r="I197" s="8"/>
      <c r="J197" s="29" t="s">
        <v>81</v>
      </c>
      <c r="K197" s="29" t="s">
        <v>81</v>
      </c>
      <c r="L197" s="29" t="s">
        <v>81</v>
      </c>
    </row>
    <row r="198" spans="1:12" ht="16.25" customHeight="1" x14ac:dyDescent="0.2">
      <c r="A198" s="10">
        <v>46034</v>
      </c>
      <c r="B198" s="56" t="s">
        <v>17</v>
      </c>
      <c r="C198" s="57"/>
      <c r="D198" s="74"/>
      <c r="E198" s="74"/>
      <c r="F198" s="20"/>
      <c r="G198" s="26"/>
      <c r="H198" s="8"/>
      <c r="I198" s="8"/>
      <c r="J198" s="29" t="s">
        <v>81</v>
      </c>
      <c r="K198" s="29" t="s">
        <v>81</v>
      </c>
      <c r="L198" s="29" t="s">
        <v>81</v>
      </c>
    </row>
    <row r="199" spans="1:12" ht="16.25" customHeight="1" x14ac:dyDescent="0.2">
      <c r="A199" s="7">
        <v>46035</v>
      </c>
      <c r="B199" s="61">
        <v>5</v>
      </c>
      <c r="C199" s="60"/>
      <c r="D199" s="76"/>
      <c r="E199" s="76"/>
      <c r="F199" s="21"/>
      <c r="G199" s="27">
        <f>1+SUM(G190:G196)</f>
        <v>20</v>
      </c>
      <c r="H199" s="5"/>
      <c r="I199" s="5"/>
      <c r="J199" s="29" t="s">
        <v>65</v>
      </c>
      <c r="K199" s="29" t="s">
        <v>87</v>
      </c>
      <c r="L199" s="29" t="s">
        <v>81</v>
      </c>
    </row>
    <row r="200" spans="1:12" ht="16.25" customHeight="1" x14ac:dyDescent="0.2">
      <c r="A200" s="7">
        <v>46036</v>
      </c>
      <c r="B200" s="61">
        <v>6</v>
      </c>
      <c r="C200" s="60"/>
      <c r="D200" s="76"/>
      <c r="E200" s="76"/>
      <c r="F200" s="21">
        <v>13</v>
      </c>
      <c r="G200" s="27"/>
      <c r="H200" s="5"/>
      <c r="I200" s="5"/>
      <c r="J200" s="29" t="s">
        <v>88</v>
      </c>
      <c r="K200" s="29"/>
      <c r="L200" s="29"/>
    </row>
    <row r="201" spans="1:12" ht="16.25" customHeight="1" x14ac:dyDescent="0.2">
      <c r="A201" s="7">
        <v>46037</v>
      </c>
      <c r="B201" s="61">
        <v>1</v>
      </c>
      <c r="C201" s="60"/>
      <c r="D201" s="76"/>
      <c r="E201" s="76"/>
      <c r="F201" s="21"/>
      <c r="G201" s="27"/>
      <c r="H201" s="5"/>
      <c r="I201" s="5"/>
      <c r="J201" s="29"/>
      <c r="K201" s="29"/>
      <c r="L201" s="29"/>
    </row>
    <row r="202" spans="1:12" ht="16.25" customHeight="1" x14ac:dyDescent="0.2">
      <c r="A202" s="46">
        <v>46038</v>
      </c>
      <c r="B202" s="66" t="s">
        <v>51</v>
      </c>
      <c r="C202" s="67" t="s">
        <v>89</v>
      </c>
      <c r="D202" s="80" t="s">
        <v>166</v>
      </c>
      <c r="E202" s="80"/>
      <c r="F202" s="48"/>
      <c r="G202" s="49"/>
      <c r="H202" s="50"/>
      <c r="I202" s="50"/>
      <c r="J202" s="51"/>
      <c r="K202" s="51"/>
      <c r="L202" s="51"/>
    </row>
    <row r="203" spans="1:12" ht="16.25" customHeight="1" x14ac:dyDescent="0.2">
      <c r="A203" s="10">
        <v>46039</v>
      </c>
      <c r="B203" s="56" t="s">
        <v>20</v>
      </c>
      <c r="C203" s="57"/>
      <c r="D203" s="74"/>
      <c r="E203" s="74"/>
      <c r="F203" s="20"/>
      <c r="G203" s="26"/>
      <c r="H203" s="8"/>
      <c r="I203" s="8"/>
      <c r="J203" s="29"/>
      <c r="K203" s="29"/>
      <c r="L203" s="29"/>
    </row>
    <row r="204" spans="1:12" ht="16.25" customHeight="1" x14ac:dyDescent="0.2">
      <c r="A204" s="10">
        <v>46040</v>
      </c>
      <c r="B204" s="56" t="s">
        <v>20</v>
      </c>
      <c r="C204" s="57"/>
      <c r="D204" s="74"/>
      <c r="E204" s="74"/>
      <c r="F204" s="20"/>
      <c r="G204" s="26"/>
      <c r="H204" s="8"/>
      <c r="I204" s="8"/>
      <c r="J204" s="29"/>
      <c r="K204" s="29"/>
      <c r="L204" s="29"/>
    </row>
    <row r="205" spans="1:12" ht="16.25" customHeight="1" x14ac:dyDescent="0.2">
      <c r="A205" s="7">
        <v>46041</v>
      </c>
      <c r="B205" s="61">
        <v>2</v>
      </c>
      <c r="C205" s="60"/>
      <c r="D205" s="76" t="s">
        <v>167</v>
      </c>
      <c r="E205" s="76"/>
      <c r="F205" s="21"/>
      <c r="G205" s="27">
        <f>1+SUM(G196:G202)</f>
        <v>21</v>
      </c>
      <c r="H205" s="5"/>
      <c r="I205" s="5"/>
      <c r="J205" s="29"/>
      <c r="K205" s="29"/>
      <c r="L205" s="29"/>
    </row>
    <row r="206" spans="1:12" ht="16.25" customHeight="1" x14ac:dyDescent="0.2">
      <c r="A206" s="7">
        <v>46042</v>
      </c>
      <c r="B206" s="61">
        <v>3</v>
      </c>
      <c r="C206" s="60"/>
      <c r="D206" s="76" t="s">
        <v>167</v>
      </c>
      <c r="E206" s="76"/>
      <c r="F206" s="21"/>
      <c r="G206" s="27"/>
      <c r="H206" s="5"/>
      <c r="I206" s="5"/>
      <c r="J206" s="29"/>
      <c r="K206" s="29"/>
      <c r="L206" s="29"/>
    </row>
    <row r="207" spans="1:12" ht="16.25" customHeight="1" x14ac:dyDescent="0.2">
      <c r="A207" s="7">
        <v>46043</v>
      </c>
      <c r="B207" s="61">
        <v>4</v>
      </c>
      <c r="C207" s="60"/>
      <c r="D207" s="76" t="s">
        <v>167</v>
      </c>
      <c r="E207" s="76"/>
      <c r="F207" s="21"/>
      <c r="G207" s="27"/>
      <c r="H207" s="5"/>
      <c r="I207" s="5"/>
      <c r="J207" s="29"/>
      <c r="K207" s="29"/>
      <c r="L207" s="29"/>
    </row>
    <row r="208" spans="1:12" ht="16.25" customHeight="1" x14ac:dyDescent="0.2">
      <c r="A208" s="7">
        <v>46044</v>
      </c>
      <c r="B208" s="61">
        <v>5</v>
      </c>
      <c r="C208" s="60"/>
      <c r="D208" s="76" t="s">
        <v>168</v>
      </c>
      <c r="E208" s="76"/>
      <c r="F208" s="21"/>
      <c r="G208" s="27"/>
      <c r="H208" s="5"/>
      <c r="I208" s="5"/>
      <c r="J208" s="29"/>
      <c r="K208" s="29"/>
      <c r="L208" s="29"/>
    </row>
    <row r="209" spans="1:12" ht="16.25" customHeight="1" x14ac:dyDescent="0.2">
      <c r="A209" s="7">
        <v>46045</v>
      </c>
      <c r="B209" s="61">
        <v>6</v>
      </c>
      <c r="C209" s="60"/>
      <c r="D209" s="76"/>
      <c r="E209" s="76"/>
      <c r="F209" s="21">
        <v>14</v>
      </c>
      <c r="G209" s="27"/>
      <c r="H209" s="5"/>
      <c r="I209" s="5"/>
      <c r="J209" s="29"/>
      <c r="K209" s="29"/>
      <c r="L209" s="29"/>
    </row>
    <row r="210" spans="1:12" ht="16.25" customHeight="1" x14ac:dyDescent="0.2">
      <c r="A210" s="10">
        <v>46046</v>
      </c>
      <c r="B210" s="56" t="s">
        <v>20</v>
      </c>
      <c r="C210" s="57"/>
      <c r="D210" s="74"/>
      <c r="E210" s="74"/>
      <c r="F210" s="20"/>
      <c r="G210" s="26"/>
      <c r="H210" s="8"/>
      <c r="I210" s="8"/>
      <c r="J210" s="29"/>
      <c r="K210" s="29"/>
      <c r="L210" s="29"/>
    </row>
    <row r="211" spans="1:12" ht="16.25" customHeight="1" x14ac:dyDescent="0.2">
      <c r="A211" s="10">
        <v>46047</v>
      </c>
      <c r="B211" s="56" t="s">
        <v>20</v>
      </c>
      <c r="C211" s="57"/>
      <c r="D211" s="74"/>
      <c r="E211" s="74"/>
      <c r="F211" s="20"/>
      <c r="G211" s="26"/>
      <c r="H211" s="8"/>
      <c r="I211" s="8"/>
      <c r="J211" s="29"/>
      <c r="K211" s="29"/>
      <c r="L211" s="29"/>
    </row>
    <row r="212" spans="1:12" ht="16.25" customHeight="1" x14ac:dyDescent="0.2">
      <c r="A212" s="7">
        <v>46048</v>
      </c>
      <c r="B212" s="61">
        <v>1</v>
      </c>
      <c r="C212" s="60"/>
      <c r="D212" s="76"/>
      <c r="E212" s="76"/>
      <c r="F212" s="21"/>
      <c r="G212" s="27">
        <f>1+SUM(G203:G209)</f>
        <v>22</v>
      </c>
      <c r="H212" s="5"/>
      <c r="I212" s="5"/>
      <c r="J212" s="29"/>
      <c r="K212" s="29"/>
      <c r="L212" s="29"/>
    </row>
    <row r="213" spans="1:12" ht="16.25" customHeight="1" x14ac:dyDescent="0.2">
      <c r="A213" s="7">
        <v>46049</v>
      </c>
      <c r="B213" s="61">
        <v>2</v>
      </c>
      <c r="C213" s="60"/>
      <c r="D213" s="76"/>
      <c r="E213" s="76"/>
      <c r="F213" s="21"/>
      <c r="G213" s="27"/>
      <c r="H213" s="5"/>
      <c r="I213" s="5"/>
      <c r="J213" s="29"/>
      <c r="K213" s="29"/>
      <c r="L213" s="29"/>
    </row>
    <row r="214" spans="1:12" ht="16.25" customHeight="1" x14ac:dyDescent="0.2">
      <c r="A214" s="7">
        <v>46050</v>
      </c>
      <c r="B214" s="61">
        <v>3</v>
      </c>
      <c r="C214" s="60"/>
      <c r="D214" s="76"/>
      <c r="E214" s="76"/>
      <c r="F214" s="21"/>
      <c r="G214" s="27"/>
      <c r="H214" s="5"/>
      <c r="I214" s="5"/>
      <c r="J214" s="29"/>
      <c r="K214" s="29"/>
      <c r="L214" s="29"/>
    </row>
    <row r="215" spans="1:12" ht="16.25" customHeight="1" x14ac:dyDescent="0.2">
      <c r="A215" s="7">
        <v>46051</v>
      </c>
      <c r="B215" s="61">
        <v>4</v>
      </c>
      <c r="C215" s="60"/>
      <c r="D215" s="76"/>
      <c r="E215" s="76"/>
      <c r="F215" s="21"/>
      <c r="G215" s="27"/>
      <c r="H215" s="5"/>
      <c r="I215" s="5"/>
      <c r="J215" s="29"/>
      <c r="K215" s="29"/>
      <c r="L215" s="29"/>
    </row>
    <row r="216" spans="1:12" ht="16.25" customHeight="1" x14ac:dyDescent="0.2">
      <c r="A216" s="7">
        <v>46052</v>
      </c>
      <c r="B216" s="61">
        <v>5</v>
      </c>
      <c r="C216" s="60"/>
      <c r="D216" s="76"/>
      <c r="E216" s="76"/>
      <c r="F216" s="21"/>
      <c r="G216" s="27"/>
      <c r="H216" s="5"/>
      <c r="I216" s="5"/>
      <c r="J216" s="29"/>
      <c r="K216" s="29"/>
      <c r="L216" s="29"/>
    </row>
    <row r="217" spans="1:12" ht="16.25" customHeight="1" x14ac:dyDescent="0.2">
      <c r="A217" s="10">
        <v>46053</v>
      </c>
      <c r="B217" s="56" t="s">
        <v>20</v>
      </c>
      <c r="C217" s="57"/>
      <c r="D217" s="74"/>
      <c r="E217" s="74"/>
      <c r="F217" s="20"/>
      <c r="G217" s="26"/>
      <c r="H217" s="8"/>
      <c r="I217" s="8"/>
      <c r="J217" s="29"/>
      <c r="K217" s="29"/>
      <c r="L217" s="29"/>
    </row>
    <row r="218" spans="1:12" ht="16.25" customHeight="1" x14ac:dyDescent="0.2">
      <c r="A218" s="10">
        <v>46054</v>
      </c>
      <c r="B218" s="56" t="s">
        <v>20</v>
      </c>
      <c r="C218" s="57"/>
      <c r="D218" s="74"/>
      <c r="E218" s="74"/>
      <c r="F218" s="20"/>
      <c r="G218" s="26"/>
      <c r="H218" s="8"/>
      <c r="I218" s="8"/>
      <c r="J218" s="29"/>
      <c r="K218" s="29"/>
      <c r="L218" s="29"/>
    </row>
    <row r="219" spans="1:12" ht="16.25" customHeight="1" x14ac:dyDescent="0.2">
      <c r="A219" s="7">
        <v>46055</v>
      </c>
      <c r="B219" s="61">
        <v>6</v>
      </c>
      <c r="C219" s="60"/>
      <c r="D219" s="76"/>
      <c r="E219" s="76"/>
      <c r="F219" s="21">
        <v>15</v>
      </c>
      <c r="G219" s="27">
        <f>1+SUM(G210:G216)</f>
        <v>23</v>
      </c>
      <c r="H219" s="5"/>
      <c r="I219" s="5"/>
      <c r="J219" s="29"/>
      <c r="K219" s="29"/>
      <c r="L219" s="29"/>
    </row>
    <row r="220" spans="1:12" ht="16.25" customHeight="1" x14ac:dyDescent="0.2">
      <c r="A220" s="7">
        <v>46056</v>
      </c>
      <c r="B220" s="61">
        <v>1</v>
      </c>
      <c r="C220" s="60"/>
      <c r="D220" s="76"/>
      <c r="E220" s="76"/>
      <c r="F220" s="21"/>
      <c r="G220" s="27"/>
      <c r="H220" s="5"/>
      <c r="I220" s="5"/>
      <c r="J220" s="29"/>
      <c r="K220" s="29"/>
      <c r="L220" s="29"/>
    </row>
    <row r="221" spans="1:12" ht="16.25" customHeight="1" x14ac:dyDescent="0.2">
      <c r="A221" s="7">
        <v>46057</v>
      </c>
      <c r="B221" s="61">
        <v>2</v>
      </c>
      <c r="C221" s="60"/>
      <c r="D221" s="76" t="s">
        <v>210</v>
      </c>
      <c r="E221" s="76"/>
      <c r="F221" s="21"/>
      <c r="G221" s="27"/>
      <c r="H221" s="5"/>
      <c r="I221" s="5"/>
      <c r="J221" s="29"/>
      <c r="K221" s="29"/>
      <c r="L221" s="29"/>
    </row>
    <row r="222" spans="1:12" ht="16.25" customHeight="1" x14ac:dyDescent="0.2">
      <c r="A222" s="7">
        <v>46058</v>
      </c>
      <c r="B222" s="61">
        <v>3</v>
      </c>
      <c r="C222" s="60"/>
      <c r="D222" s="76"/>
      <c r="E222" s="76"/>
      <c r="F222" s="21"/>
      <c r="G222" s="27"/>
      <c r="H222" s="5"/>
      <c r="I222" s="5"/>
      <c r="J222" s="29"/>
      <c r="K222" s="29"/>
      <c r="L222" s="29"/>
    </row>
    <row r="223" spans="1:12" ht="16.25" customHeight="1" x14ac:dyDescent="0.2">
      <c r="A223" s="7">
        <v>46059</v>
      </c>
      <c r="B223" s="61">
        <v>4</v>
      </c>
      <c r="C223" s="60"/>
      <c r="D223" s="76"/>
      <c r="E223" s="76"/>
      <c r="F223" s="21"/>
      <c r="G223" s="27"/>
      <c r="H223" s="5"/>
      <c r="I223" s="5"/>
      <c r="J223" s="29"/>
      <c r="K223" s="29"/>
      <c r="L223" s="29"/>
    </row>
    <row r="224" spans="1:12" ht="16.25" customHeight="1" x14ac:dyDescent="0.2">
      <c r="A224" s="10">
        <v>46060</v>
      </c>
      <c r="B224" s="56" t="s">
        <v>20</v>
      </c>
      <c r="C224" s="57"/>
      <c r="D224" s="74"/>
      <c r="E224" s="74"/>
      <c r="F224" s="20"/>
      <c r="G224" s="26"/>
      <c r="H224" s="8"/>
      <c r="I224" s="8"/>
      <c r="J224" s="29"/>
      <c r="K224" s="29"/>
      <c r="L224" s="29"/>
    </row>
    <row r="225" spans="1:12" ht="16.25" customHeight="1" x14ac:dyDescent="0.2">
      <c r="A225" s="10">
        <v>46061</v>
      </c>
      <c r="B225" s="56" t="s">
        <v>20</v>
      </c>
      <c r="C225" s="57"/>
      <c r="D225" s="74"/>
      <c r="E225" s="74"/>
      <c r="F225" s="20"/>
      <c r="G225" s="26"/>
      <c r="H225" s="8"/>
      <c r="I225" s="8"/>
      <c r="J225" s="29"/>
      <c r="K225" s="29"/>
      <c r="L225" s="29"/>
    </row>
    <row r="226" spans="1:12" ht="16.25" customHeight="1" x14ac:dyDescent="0.2">
      <c r="A226" s="7">
        <v>46062</v>
      </c>
      <c r="B226" s="61">
        <v>5</v>
      </c>
      <c r="C226" s="60"/>
      <c r="D226" s="76"/>
      <c r="E226" s="76"/>
      <c r="F226" s="21"/>
      <c r="G226" s="27">
        <f>1+SUM(G217:G223)</f>
        <v>24</v>
      </c>
      <c r="H226" s="5"/>
      <c r="I226" s="5"/>
      <c r="J226" s="29"/>
      <c r="K226" s="29"/>
      <c r="L226" s="29"/>
    </row>
    <row r="227" spans="1:12" ht="16.25" customHeight="1" x14ac:dyDescent="0.2">
      <c r="A227" s="7">
        <v>46063</v>
      </c>
      <c r="B227" s="61">
        <v>6</v>
      </c>
      <c r="C227" s="60"/>
      <c r="D227" s="76"/>
      <c r="E227" s="76"/>
      <c r="F227" s="21">
        <v>16</v>
      </c>
      <c r="G227" s="27"/>
      <c r="H227" s="5"/>
      <c r="I227" s="5"/>
      <c r="J227" s="29"/>
      <c r="K227" s="29"/>
      <c r="L227" s="29"/>
    </row>
    <row r="228" spans="1:12" ht="16.25" customHeight="1" x14ac:dyDescent="0.2">
      <c r="A228" s="7">
        <v>46064</v>
      </c>
      <c r="B228" s="61">
        <v>1</v>
      </c>
      <c r="C228" s="60"/>
      <c r="D228" s="76"/>
      <c r="E228" s="76"/>
      <c r="F228" s="21"/>
      <c r="G228" s="27"/>
      <c r="H228" s="5"/>
      <c r="I228" s="5"/>
      <c r="J228" s="29"/>
      <c r="K228" s="29"/>
      <c r="L228" s="29"/>
    </row>
    <row r="229" spans="1:12" ht="16.25" customHeight="1" x14ac:dyDescent="0.2">
      <c r="A229" s="7">
        <v>46065</v>
      </c>
      <c r="B229" s="61">
        <v>2</v>
      </c>
      <c r="C229" s="60"/>
      <c r="D229" s="76"/>
      <c r="E229" s="76"/>
      <c r="F229" s="21"/>
      <c r="G229" s="27"/>
      <c r="H229" s="5"/>
      <c r="I229" s="5"/>
      <c r="J229" s="29"/>
      <c r="K229" s="29"/>
      <c r="L229" s="29"/>
    </row>
    <row r="230" spans="1:12" ht="16.25" customHeight="1" x14ac:dyDescent="0.2">
      <c r="A230" s="7">
        <v>46066</v>
      </c>
      <c r="B230" s="61">
        <v>3</v>
      </c>
      <c r="C230" s="60"/>
      <c r="D230" s="76" t="s">
        <v>172</v>
      </c>
      <c r="E230" s="76"/>
      <c r="F230" s="21"/>
      <c r="G230" s="27"/>
      <c r="H230" s="5"/>
      <c r="I230" s="5"/>
      <c r="J230" s="29"/>
      <c r="K230" s="29"/>
      <c r="L230" s="29"/>
    </row>
    <row r="231" spans="1:12" ht="16.25" customHeight="1" x14ac:dyDescent="0.2">
      <c r="A231" s="10">
        <v>46067</v>
      </c>
      <c r="B231" s="56" t="s">
        <v>20</v>
      </c>
      <c r="C231" s="57"/>
      <c r="D231" s="74"/>
      <c r="E231" s="74"/>
      <c r="F231" s="20"/>
      <c r="G231" s="26"/>
      <c r="H231" s="8"/>
      <c r="I231" s="8"/>
      <c r="J231" s="29"/>
      <c r="K231" s="29"/>
      <c r="L231" s="29"/>
    </row>
    <row r="232" spans="1:12" ht="16.25" customHeight="1" x14ac:dyDescent="0.2">
      <c r="A232" s="10">
        <v>46068</v>
      </c>
      <c r="B232" s="56" t="s">
        <v>20</v>
      </c>
      <c r="C232" s="57"/>
      <c r="D232" s="74"/>
      <c r="E232" s="74"/>
      <c r="F232" s="20"/>
      <c r="G232" s="26"/>
      <c r="H232" s="8"/>
      <c r="I232" s="8"/>
      <c r="J232" s="29"/>
      <c r="K232" s="29"/>
      <c r="L232" s="29"/>
    </row>
    <row r="233" spans="1:12" ht="16.25" customHeight="1" x14ac:dyDescent="0.2">
      <c r="A233" s="7">
        <v>46069</v>
      </c>
      <c r="B233" s="61">
        <v>4</v>
      </c>
      <c r="C233" s="60"/>
      <c r="D233" s="76" t="s">
        <v>158</v>
      </c>
      <c r="E233" s="76"/>
      <c r="F233" s="21"/>
      <c r="G233" s="27">
        <f>1+SUM(G224:G230)</f>
        <v>25</v>
      </c>
      <c r="H233" s="5"/>
      <c r="I233" s="5"/>
      <c r="J233" s="29"/>
      <c r="K233" s="29"/>
      <c r="L233" s="29"/>
    </row>
    <row r="234" spans="1:12" ht="16.25" customHeight="1" x14ac:dyDescent="0.2">
      <c r="A234" s="7">
        <v>46070</v>
      </c>
      <c r="B234" s="61">
        <v>5</v>
      </c>
      <c r="C234" s="60"/>
      <c r="D234" s="76"/>
      <c r="E234" s="76"/>
      <c r="F234" s="21"/>
      <c r="G234" s="27"/>
      <c r="H234" s="5"/>
      <c r="I234" s="5"/>
      <c r="J234" s="29"/>
      <c r="K234" s="29"/>
      <c r="L234" s="29"/>
    </row>
    <row r="235" spans="1:12" ht="16.25" customHeight="1" x14ac:dyDescent="0.2">
      <c r="A235" s="7">
        <v>46071</v>
      </c>
      <c r="B235" s="61">
        <v>6</v>
      </c>
      <c r="C235" s="60"/>
      <c r="D235" s="76" t="s">
        <v>173</v>
      </c>
      <c r="E235" s="76"/>
      <c r="F235" s="21">
        <v>17</v>
      </c>
      <c r="G235" s="27"/>
      <c r="H235" s="5"/>
      <c r="I235" s="5"/>
      <c r="J235" s="29"/>
      <c r="K235" s="29"/>
      <c r="L235" s="29"/>
    </row>
    <row r="236" spans="1:12" ht="16.25" customHeight="1" x14ac:dyDescent="0.2">
      <c r="A236" s="7">
        <v>46072</v>
      </c>
      <c r="B236" s="61">
        <v>1</v>
      </c>
      <c r="C236" s="60"/>
      <c r="D236" s="76" t="s">
        <v>211</v>
      </c>
      <c r="E236" s="76"/>
      <c r="F236" s="21"/>
      <c r="G236" s="27"/>
      <c r="H236" s="5"/>
      <c r="I236" s="5"/>
      <c r="J236" s="29"/>
      <c r="K236" s="29"/>
      <c r="L236" s="29"/>
    </row>
    <row r="237" spans="1:12" ht="16.25" customHeight="1" x14ac:dyDescent="0.2">
      <c r="A237" s="7">
        <v>46073</v>
      </c>
      <c r="B237" s="61">
        <v>2</v>
      </c>
      <c r="C237" s="60"/>
      <c r="D237" s="76" t="s">
        <v>211</v>
      </c>
      <c r="E237" s="76"/>
      <c r="F237" s="21"/>
      <c r="G237" s="27"/>
      <c r="H237" s="5"/>
      <c r="I237" s="5"/>
      <c r="J237" s="29"/>
      <c r="K237" s="29"/>
      <c r="L237" s="29"/>
    </row>
    <row r="238" spans="1:12" ht="16.25" customHeight="1" x14ac:dyDescent="0.2">
      <c r="A238" s="10">
        <v>46074</v>
      </c>
      <c r="B238" s="56" t="s">
        <v>20</v>
      </c>
      <c r="C238" s="57"/>
      <c r="D238" s="74"/>
      <c r="E238" s="74"/>
      <c r="F238" s="20"/>
      <c r="G238" s="26"/>
      <c r="H238" s="8"/>
      <c r="I238" s="8"/>
      <c r="J238" s="29"/>
      <c r="K238" s="29"/>
      <c r="L238" s="29"/>
    </row>
    <row r="239" spans="1:12" ht="16.25" customHeight="1" x14ac:dyDescent="0.2">
      <c r="A239" s="10">
        <v>46075</v>
      </c>
      <c r="B239" s="56" t="s">
        <v>20</v>
      </c>
      <c r="C239" s="57"/>
      <c r="D239" s="74"/>
      <c r="E239" s="74"/>
      <c r="F239" s="20"/>
      <c r="G239" s="26"/>
      <c r="H239" s="8"/>
      <c r="I239" s="8"/>
      <c r="J239" s="29"/>
      <c r="K239" s="29"/>
      <c r="L239" s="29"/>
    </row>
    <row r="240" spans="1:12" ht="16.25" customHeight="1" x14ac:dyDescent="0.2">
      <c r="A240" s="7">
        <v>46076</v>
      </c>
      <c r="B240" s="61">
        <v>3</v>
      </c>
      <c r="C240" s="60"/>
      <c r="D240" s="76" t="s">
        <v>175</v>
      </c>
      <c r="E240" s="76"/>
      <c r="F240" s="21"/>
      <c r="G240" s="27">
        <f>1+SUM(G231:G237)</f>
        <v>26</v>
      </c>
      <c r="H240" s="5"/>
      <c r="I240" s="5"/>
      <c r="J240" s="29"/>
      <c r="K240" s="29" t="s">
        <v>97</v>
      </c>
      <c r="L240" s="29"/>
    </row>
    <row r="241" spans="1:12" ht="16.25" customHeight="1" x14ac:dyDescent="0.2">
      <c r="A241" s="7">
        <v>46077</v>
      </c>
      <c r="B241" s="61">
        <v>4</v>
      </c>
      <c r="C241" s="60"/>
      <c r="D241" s="76" t="s">
        <v>175</v>
      </c>
      <c r="E241" s="76"/>
      <c r="F241" s="21"/>
      <c r="G241" s="27"/>
      <c r="H241" s="5"/>
      <c r="I241" s="5"/>
      <c r="J241" s="29"/>
      <c r="K241" s="29"/>
      <c r="L241" s="29"/>
    </row>
    <row r="242" spans="1:12" ht="16.25" customHeight="1" x14ac:dyDescent="0.2">
      <c r="A242" s="7">
        <v>46078</v>
      </c>
      <c r="B242" s="61">
        <v>5</v>
      </c>
      <c r="C242" s="60"/>
      <c r="D242" s="76" t="s">
        <v>175</v>
      </c>
      <c r="E242" s="76"/>
      <c r="F242" s="21"/>
      <c r="G242" s="27"/>
      <c r="H242" s="5"/>
      <c r="I242" s="5"/>
      <c r="J242" s="29"/>
      <c r="K242" s="29"/>
      <c r="L242" s="29"/>
    </row>
    <row r="243" spans="1:12" ht="16.25" customHeight="1" x14ac:dyDescent="0.2">
      <c r="A243" s="7">
        <v>46079</v>
      </c>
      <c r="B243" s="61">
        <v>6</v>
      </c>
      <c r="C243" s="60"/>
      <c r="D243" s="76" t="s">
        <v>176</v>
      </c>
      <c r="E243" s="76"/>
      <c r="F243" s="21">
        <v>18</v>
      </c>
      <c r="G243" s="27"/>
      <c r="H243" s="5"/>
      <c r="I243" s="5"/>
      <c r="J243" s="29"/>
      <c r="K243" s="29"/>
      <c r="L243" s="29"/>
    </row>
    <row r="244" spans="1:12" ht="16.25" customHeight="1" x14ac:dyDescent="0.2">
      <c r="A244" s="7">
        <v>46080</v>
      </c>
      <c r="B244" s="61">
        <v>1</v>
      </c>
      <c r="C244" s="60"/>
      <c r="D244" s="76"/>
      <c r="E244" s="76"/>
      <c r="F244" s="21"/>
      <c r="G244" s="27"/>
      <c r="H244" s="5"/>
      <c r="I244" s="5"/>
      <c r="J244" s="29"/>
      <c r="K244" s="29"/>
      <c r="L244" s="29"/>
    </row>
    <row r="245" spans="1:12" ht="16.25" customHeight="1" x14ac:dyDescent="0.2">
      <c r="A245" s="10">
        <v>46081</v>
      </c>
      <c r="B245" s="56" t="s">
        <v>20</v>
      </c>
      <c r="C245" s="57"/>
      <c r="D245" s="74"/>
      <c r="E245" s="74"/>
      <c r="F245" s="20"/>
      <c r="G245" s="26"/>
      <c r="H245" s="8"/>
      <c r="I245" s="8"/>
      <c r="J245" s="29"/>
      <c r="K245" s="29"/>
      <c r="L245" s="29"/>
    </row>
    <row r="246" spans="1:12" ht="16.25" customHeight="1" x14ac:dyDescent="0.2">
      <c r="A246" s="10">
        <v>46082</v>
      </c>
      <c r="B246" s="56" t="s">
        <v>20</v>
      </c>
      <c r="C246" s="57"/>
      <c r="D246" s="74"/>
      <c r="E246" s="74"/>
      <c r="F246" s="20"/>
      <c r="G246" s="26"/>
      <c r="H246" s="8"/>
      <c r="I246" s="8"/>
      <c r="J246" s="29"/>
      <c r="K246" s="29"/>
      <c r="L246" s="29"/>
    </row>
    <row r="247" spans="1:12" ht="16.25" customHeight="1" x14ac:dyDescent="0.2">
      <c r="A247" s="7">
        <v>46083</v>
      </c>
      <c r="B247" s="61">
        <v>2</v>
      </c>
      <c r="C247" s="60"/>
      <c r="D247" s="76" t="s">
        <v>177</v>
      </c>
      <c r="E247" s="76"/>
      <c r="F247" s="21"/>
      <c r="G247" s="27">
        <f>1+SUM(G238:G244)</f>
        <v>27</v>
      </c>
      <c r="H247" s="5"/>
      <c r="I247" s="5"/>
      <c r="J247" s="29"/>
      <c r="K247" s="29"/>
      <c r="L247" s="29"/>
    </row>
    <row r="248" spans="1:12" ht="16.25" customHeight="1" x14ac:dyDescent="0.2">
      <c r="A248" s="7">
        <v>46084</v>
      </c>
      <c r="B248" s="61">
        <v>3</v>
      </c>
      <c r="C248" s="60"/>
      <c r="D248" s="76" t="s">
        <v>177</v>
      </c>
      <c r="E248" s="76"/>
      <c r="F248" s="21"/>
      <c r="G248" s="27"/>
      <c r="H248" s="5"/>
      <c r="I248" s="5"/>
      <c r="J248" s="29"/>
      <c r="K248" s="29"/>
      <c r="L248" s="29"/>
    </row>
    <row r="249" spans="1:12" ht="16.25" customHeight="1" x14ac:dyDescent="0.2">
      <c r="A249" s="7">
        <v>46085</v>
      </c>
      <c r="B249" s="61">
        <v>4</v>
      </c>
      <c r="C249" s="60"/>
      <c r="D249" s="76" t="s">
        <v>177</v>
      </c>
      <c r="E249" s="76"/>
      <c r="F249" s="21"/>
      <c r="G249" s="27"/>
      <c r="H249" s="5"/>
      <c r="I249" s="5"/>
      <c r="J249" s="29"/>
      <c r="K249" s="29"/>
      <c r="L249" s="29"/>
    </row>
    <row r="250" spans="1:12" ht="16.25" customHeight="1" x14ac:dyDescent="0.2">
      <c r="A250" s="7">
        <v>46086</v>
      </c>
      <c r="B250" s="61">
        <v>5</v>
      </c>
      <c r="C250" s="60"/>
      <c r="D250" s="76" t="s">
        <v>177</v>
      </c>
      <c r="E250" s="76"/>
      <c r="F250" s="21"/>
      <c r="G250" s="27"/>
      <c r="H250" s="5"/>
      <c r="I250" s="5"/>
      <c r="J250" s="29"/>
      <c r="K250" s="29"/>
      <c r="L250" s="29"/>
    </row>
    <row r="251" spans="1:12" ht="16.25" customHeight="1" x14ac:dyDescent="0.2">
      <c r="A251" s="7">
        <v>46087</v>
      </c>
      <c r="B251" s="61">
        <v>6</v>
      </c>
      <c r="C251" s="60"/>
      <c r="D251" s="76"/>
      <c r="E251" s="76"/>
      <c r="F251" s="21">
        <v>19</v>
      </c>
      <c r="G251" s="27"/>
      <c r="H251" s="5"/>
      <c r="I251" s="5"/>
      <c r="J251" s="29"/>
      <c r="K251" s="29"/>
      <c r="L251" s="29"/>
    </row>
    <row r="252" spans="1:12" ht="16.25" customHeight="1" x14ac:dyDescent="0.2">
      <c r="A252" s="10">
        <v>46088</v>
      </c>
      <c r="B252" s="56" t="s">
        <v>20</v>
      </c>
      <c r="C252" s="57"/>
      <c r="D252" s="74"/>
      <c r="E252" s="74"/>
      <c r="F252" s="20"/>
      <c r="G252" s="26"/>
      <c r="H252" s="8"/>
      <c r="I252" s="8"/>
      <c r="J252" s="29"/>
      <c r="K252" s="29"/>
      <c r="L252" s="29"/>
    </row>
    <row r="253" spans="1:12" ht="16.25" customHeight="1" x14ac:dyDescent="0.2">
      <c r="A253" s="10">
        <v>46089</v>
      </c>
      <c r="B253" s="56" t="s">
        <v>20</v>
      </c>
      <c r="C253" s="57"/>
      <c r="D253" s="74"/>
      <c r="E253" s="74"/>
      <c r="F253" s="20"/>
      <c r="G253" s="26"/>
      <c r="H253" s="8"/>
      <c r="I253" s="8"/>
      <c r="J253" s="29"/>
      <c r="K253" s="29"/>
      <c r="L253" s="29"/>
    </row>
    <row r="254" spans="1:12" ht="16.25" customHeight="1" x14ac:dyDescent="0.2">
      <c r="A254" s="7">
        <v>46090</v>
      </c>
      <c r="B254" s="61">
        <v>1</v>
      </c>
      <c r="C254" s="60"/>
      <c r="D254" s="76"/>
      <c r="E254" s="76"/>
      <c r="F254" s="21"/>
      <c r="G254" s="27">
        <f>1+SUM(G245:G251)</f>
        <v>28</v>
      </c>
      <c r="H254" s="5"/>
      <c r="I254" s="5"/>
      <c r="J254" s="29" t="s">
        <v>65</v>
      </c>
      <c r="K254" s="29"/>
      <c r="L254" s="29"/>
    </row>
    <row r="255" spans="1:12" ht="16.25" customHeight="1" x14ac:dyDescent="0.2">
      <c r="A255" s="7">
        <v>46091</v>
      </c>
      <c r="B255" s="61">
        <v>2</v>
      </c>
      <c r="C255" s="60"/>
      <c r="D255" s="76"/>
      <c r="E255" s="76"/>
      <c r="F255" s="21"/>
      <c r="G255" s="27"/>
      <c r="H255" s="5"/>
      <c r="I255" s="5"/>
      <c r="J255" s="29"/>
      <c r="K255" s="29"/>
      <c r="L255" s="29"/>
    </row>
    <row r="256" spans="1:12" ht="16.25" customHeight="1" x14ac:dyDescent="0.2">
      <c r="A256" s="7">
        <v>46092</v>
      </c>
      <c r="B256" s="61">
        <v>3</v>
      </c>
      <c r="C256" s="60"/>
      <c r="D256" s="76" t="s">
        <v>212</v>
      </c>
      <c r="E256" s="76"/>
      <c r="F256" s="21"/>
      <c r="G256" s="27"/>
      <c r="H256" s="5"/>
      <c r="I256" s="5"/>
      <c r="J256" s="29"/>
      <c r="K256" s="29"/>
      <c r="L256" s="29"/>
    </row>
    <row r="257" spans="1:12" ht="16.25" customHeight="1" x14ac:dyDescent="0.2">
      <c r="A257" s="7">
        <v>46093</v>
      </c>
      <c r="B257" s="61">
        <v>4</v>
      </c>
      <c r="C257" s="60"/>
      <c r="D257" s="76" t="s">
        <v>212</v>
      </c>
      <c r="E257" s="76"/>
      <c r="F257" s="21"/>
      <c r="G257" s="27"/>
      <c r="H257" s="5"/>
      <c r="I257" s="5"/>
      <c r="J257" s="29"/>
      <c r="K257" s="29"/>
      <c r="L257" s="29"/>
    </row>
    <row r="258" spans="1:12" ht="16.25" customHeight="1" x14ac:dyDescent="0.2">
      <c r="A258" s="7">
        <v>46094</v>
      </c>
      <c r="B258" s="61">
        <v>5</v>
      </c>
      <c r="C258" s="60"/>
      <c r="D258" s="76" t="s">
        <v>212</v>
      </c>
      <c r="E258" s="76"/>
      <c r="F258" s="21"/>
      <c r="G258" s="27"/>
      <c r="H258" s="5"/>
      <c r="I258" s="5"/>
      <c r="J258" s="29"/>
      <c r="K258" s="29"/>
      <c r="L258" s="29"/>
    </row>
    <row r="259" spans="1:12" ht="16.25" customHeight="1" x14ac:dyDescent="0.2">
      <c r="A259" s="10">
        <v>46095</v>
      </c>
      <c r="B259" s="56" t="s">
        <v>20</v>
      </c>
      <c r="C259" s="57"/>
      <c r="D259" s="74"/>
      <c r="E259" s="74"/>
      <c r="F259" s="20"/>
      <c r="G259" s="26"/>
      <c r="H259" s="8"/>
      <c r="I259" s="8"/>
      <c r="J259" s="29"/>
      <c r="K259" s="29"/>
      <c r="L259" s="29"/>
    </row>
    <row r="260" spans="1:12" ht="16.25" customHeight="1" x14ac:dyDescent="0.2">
      <c r="A260" s="10">
        <v>46096</v>
      </c>
      <c r="B260" s="56" t="s">
        <v>20</v>
      </c>
      <c r="C260" s="57"/>
      <c r="D260" s="74"/>
      <c r="E260" s="74"/>
      <c r="F260" s="20"/>
      <c r="G260" s="26"/>
      <c r="H260" s="8"/>
      <c r="I260" s="8"/>
      <c r="J260" s="29"/>
      <c r="K260" s="29"/>
      <c r="L260" s="29"/>
    </row>
    <row r="261" spans="1:12" ht="16.25" customHeight="1" x14ac:dyDescent="0.2">
      <c r="A261" s="7">
        <v>46097</v>
      </c>
      <c r="B261" s="61">
        <v>6</v>
      </c>
      <c r="C261" s="60"/>
      <c r="D261" s="76" t="s">
        <v>213</v>
      </c>
      <c r="E261" s="76"/>
      <c r="F261" s="21">
        <v>20</v>
      </c>
      <c r="G261" s="27">
        <f>1+SUM(G252:G258)</f>
        <v>29</v>
      </c>
      <c r="H261" s="5"/>
      <c r="I261" s="5"/>
      <c r="J261" s="29"/>
      <c r="K261" s="29"/>
      <c r="L261" s="29"/>
    </row>
    <row r="262" spans="1:12" ht="16.25" customHeight="1" x14ac:dyDescent="0.2">
      <c r="A262" s="7">
        <v>46098</v>
      </c>
      <c r="B262" s="61">
        <v>1</v>
      </c>
      <c r="C262" s="60"/>
      <c r="D262" s="76"/>
      <c r="E262" s="76"/>
      <c r="F262" s="21"/>
      <c r="G262" s="27"/>
      <c r="H262" s="5"/>
      <c r="I262" s="5"/>
      <c r="J262" s="29"/>
      <c r="K262" s="29"/>
      <c r="L262" s="29"/>
    </row>
    <row r="263" spans="1:12" ht="16.25" customHeight="1" x14ac:dyDescent="0.2">
      <c r="A263" s="7">
        <v>46099</v>
      </c>
      <c r="B263" s="61">
        <v>2</v>
      </c>
      <c r="C263" s="60"/>
      <c r="D263" s="76"/>
      <c r="E263" s="76"/>
      <c r="F263" s="21"/>
      <c r="G263" s="27"/>
      <c r="H263" s="5"/>
      <c r="I263" s="5"/>
      <c r="J263" s="29"/>
      <c r="K263" s="29"/>
      <c r="L263" s="29"/>
    </row>
    <row r="264" spans="1:12" ht="16.25" customHeight="1" x14ac:dyDescent="0.2">
      <c r="A264" s="7">
        <v>46100</v>
      </c>
      <c r="B264" s="61">
        <v>3</v>
      </c>
      <c r="C264" s="60"/>
      <c r="D264" s="76"/>
      <c r="E264" s="76"/>
      <c r="F264" s="21"/>
      <c r="G264" s="27"/>
      <c r="H264" s="5"/>
      <c r="I264" s="5"/>
      <c r="J264" s="29"/>
      <c r="K264" s="29"/>
      <c r="L264" s="29"/>
    </row>
    <row r="265" spans="1:12" ht="16.25" customHeight="1" x14ac:dyDescent="0.2">
      <c r="A265" s="7">
        <v>46101</v>
      </c>
      <c r="B265" s="61">
        <v>4</v>
      </c>
      <c r="C265" s="60"/>
      <c r="D265" s="76"/>
      <c r="E265" s="76"/>
      <c r="F265" s="21"/>
      <c r="G265" s="27"/>
      <c r="H265" s="5"/>
      <c r="I265" s="5"/>
      <c r="J265" s="29"/>
      <c r="K265" s="29"/>
      <c r="L265" s="29"/>
    </row>
    <row r="266" spans="1:12" ht="16.25" customHeight="1" x14ac:dyDescent="0.2">
      <c r="A266" s="10">
        <v>46102</v>
      </c>
      <c r="B266" s="56" t="s">
        <v>20</v>
      </c>
      <c r="C266" s="57"/>
      <c r="D266" s="74"/>
      <c r="E266" s="74"/>
      <c r="F266" s="20"/>
      <c r="G266" s="26"/>
      <c r="H266" s="8"/>
      <c r="I266" s="8"/>
      <c r="J266" s="29"/>
      <c r="K266" s="29" t="s">
        <v>81</v>
      </c>
      <c r="L266" s="29"/>
    </row>
    <row r="267" spans="1:12" ht="16.25" customHeight="1" x14ac:dyDescent="0.2">
      <c r="A267" s="10">
        <v>46103</v>
      </c>
      <c r="B267" s="56" t="s">
        <v>20</v>
      </c>
      <c r="C267" s="57"/>
      <c r="D267" s="74"/>
      <c r="E267" s="74"/>
      <c r="F267" s="20"/>
      <c r="G267" s="26"/>
      <c r="H267" s="8"/>
      <c r="I267" s="8"/>
      <c r="J267" s="29"/>
      <c r="K267" s="29" t="s">
        <v>81</v>
      </c>
      <c r="L267" s="29"/>
    </row>
    <row r="268" spans="1:12" ht="16.25" customHeight="1" x14ac:dyDescent="0.2">
      <c r="A268" s="10">
        <v>46104</v>
      </c>
      <c r="B268" s="56" t="s">
        <v>17</v>
      </c>
      <c r="C268" s="57"/>
      <c r="D268" s="74"/>
      <c r="E268" s="74"/>
      <c r="F268" s="20"/>
      <c r="G268" s="26"/>
      <c r="H268" s="8"/>
      <c r="I268" s="8"/>
      <c r="J268" s="29"/>
      <c r="K268" s="29" t="s">
        <v>81</v>
      </c>
      <c r="L268" s="29"/>
    </row>
    <row r="269" spans="1:12" ht="16.25" customHeight="1" x14ac:dyDescent="0.2">
      <c r="A269" s="7">
        <v>46105</v>
      </c>
      <c r="B269" s="61">
        <v>5</v>
      </c>
      <c r="C269" s="60"/>
      <c r="D269" s="76" t="s">
        <v>179</v>
      </c>
      <c r="E269" s="76"/>
      <c r="F269" s="21"/>
      <c r="G269" s="27">
        <f>1+SUM(G260:G266)</f>
        <v>30</v>
      </c>
      <c r="H269" s="5"/>
      <c r="I269" s="5"/>
      <c r="J269" s="29"/>
      <c r="K269" s="29" t="s">
        <v>81</v>
      </c>
      <c r="L269" s="29"/>
    </row>
    <row r="270" spans="1:12" ht="16.25" customHeight="1" x14ac:dyDescent="0.2">
      <c r="A270" s="7">
        <v>46106</v>
      </c>
      <c r="B270" s="61">
        <v>6</v>
      </c>
      <c r="C270" s="60"/>
      <c r="D270" s="76"/>
      <c r="E270" s="76"/>
      <c r="F270" s="21">
        <v>21</v>
      </c>
      <c r="G270" s="27"/>
      <c r="H270" s="5"/>
      <c r="I270" s="5"/>
      <c r="J270" s="29"/>
      <c r="K270" s="29" t="s">
        <v>81</v>
      </c>
      <c r="L270" s="29"/>
    </row>
    <row r="271" spans="1:12" ht="16.25" customHeight="1" x14ac:dyDescent="0.2">
      <c r="A271" s="37">
        <v>46107</v>
      </c>
      <c r="B271" s="62">
        <v>1</v>
      </c>
      <c r="C271" s="63" t="s">
        <v>102</v>
      </c>
      <c r="D271" s="78"/>
      <c r="E271" s="78"/>
      <c r="F271" s="40"/>
      <c r="G271" s="41"/>
      <c r="H271" s="42"/>
      <c r="I271" s="42"/>
      <c r="J271" s="43"/>
      <c r="K271" s="43" t="s">
        <v>81</v>
      </c>
      <c r="L271" s="43"/>
    </row>
    <row r="272" spans="1:12" ht="16.25" customHeight="1" x14ac:dyDescent="0.2">
      <c r="A272" s="10">
        <v>46108</v>
      </c>
      <c r="B272" s="56" t="s">
        <v>104</v>
      </c>
      <c r="C272" s="57"/>
      <c r="D272" s="74"/>
      <c r="E272" s="74"/>
      <c r="F272" s="20"/>
      <c r="G272" s="26"/>
      <c r="H272" s="8"/>
      <c r="I272" s="8"/>
      <c r="J272" s="29"/>
      <c r="K272" s="29" t="s">
        <v>81</v>
      </c>
      <c r="L272" s="29"/>
    </row>
    <row r="273" spans="1:12" ht="16.25" customHeight="1" x14ac:dyDescent="0.2">
      <c r="A273" s="10">
        <v>46109</v>
      </c>
      <c r="B273" s="56" t="s">
        <v>20</v>
      </c>
      <c r="C273" s="57"/>
      <c r="D273" s="74"/>
      <c r="E273" s="74"/>
      <c r="F273" s="20"/>
      <c r="G273" s="26"/>
      <c r="H273" s="8"/>
      <c r="I273" s="8"/>
      <c r="J273" s="29" t="s">
        <v>81</v>
      </c>
      <c r="K273" s="29" t="s">
        <v>81</v>
      </c>
      <c r="L273" s="29" t="s">
        <v>81</v>
      </c>
    </row>
    <row r="274" spans="1:12" ht="16.25" customHeight="1" x14ac:dyDescent="0.2">
      <c r="A274" s="10">
        <v>46110</v>
      </c>
      <c r="B274" s="56" t="s">
        <v>20</v>
      </c>
      <c r="C274" s="57"/>
      <c r="D274" s="74"/>
      <c r="E274" s="74"/>
      <c r="F274" s="20"/>
      <c r="G274" s="26"/>
      <c r="H274" s="8"/>
      <c r="I274" s="8"/>
      <c r="J274" s="29" t="s">
        <v>81</v>
      </c>
      <c r="K274" s="29" t="s">
        <v>81</v>
      </c>
      <c r="L274" s="29" t="s">
        <v>81</v>
      </c>
    </row>
    <row r="275" spans="1:12" ht="16.25" customHeight="1" x14ac:dyDescent="0.2">
      <c r="A275" s="10">
        <v>46111</v>
      </c>
      <c r="B275" s="56" t="s">
        <v>104</v>
      </c>
      <c r="C275" s="57"/>
      <c r="D275" s="74"/>
      <c r="E275" s="74"/>
      <c r="F275" s="20"/>
      <c r="G275" s="26"/>
      <c r="H275" s="8"/>
      <c r="I275" s="8"/>
      <c r="J275" s="29" t="s">
        <v>81</v>
      </c>
      <c r="K275" s="29" t="s">
        <v>81</v>
      </c>
      <c r="L275" s="29" t="s">
        <v>81</v>
      </c>
    </row>
    <row r="276" spans="1:12" ht="16.25" customHeight="1" x14ac:dyDescent="0.2">
      <c r="A276" s="10">
        <v>46112</v>
      </c>
      <c r="B276" s="56" t="s">
        <v>104</v>
      </c>
      <c r="C276" s="57"/>
      <c r="D276" s="74"/>
      <c r="E276" s="74"/>
      <c r="F276" s="20"/>
      <c r="G276" s="26"/>
      <c r="H276" s="8"/>
      <c r="I276" s="8"/>
      <c r="J276" s="29" t="s">
        <v>81</v>
      </c>
      <c r="K276" s="29" t="s">
        <v>81</v>
      </c>
      <c r="L276" s="29" t="s">
        <v>81</v>
      </c>
    </row>
    <row r="277" spans="1:12" ht="16.25" customHeight="1" x14ac:dyDescent="0.2">
      <c r="A277" s="10">
        <v>46113</v>
      </c>
      <c r="B277" s="56" t="s">
        <v>104</v>
      </c>
      <c r="C277" s="57"/>
      <c r="D277" s="74"/>
      <c r="E277" s="74"/>
      <c r="F277" s="20"/>
      <c r="G277" s="26"/>
      <c r="H277" s="8"/>
      <c r="I277" s="8"/>
      <c r="J277" s="29" t="s">
        <v>81</v>
      </c>
      <c r="K277" s="29" t="s">
        <v>81</v>
      </c>
      <c r="L277" s="29" t="s">
        <v>81</v>
      </c>
    </row>
    <row r="278" spans="1:12" ht="16.25" customHeight="1" x14ac:dyDescent="0.2">
      <c r="A278" s="10">
        <v>46114</v>
      </c>
      <c r="B278" s="56" t="s">
        <v>17</v>
      </c>
      <c r="C278" s="57"/>
      <c r="D278" s="74"/>
      <c r="E278" s="74"/>
      <c r="F278" s="20"/>
      <c r="G278" s="26"/>
      <c r="H278" s="8"/>
      <c r="I278" s="8"/>
      <c r="J278" s="29" t="s">
        <v>81</v>
      </c>
      <c r="K278" s="29" t="s">
        <v>81</v>
      </c>
      <c r="L278" s="29" t="s">
        <v>81</v>
      </c>
    </row>
    <row r="279" spans="1:12" ht="16.25" customHeight="1" x14ac:dyDescent="0.2">
      <c r="A279" s="10">
        <v>46115</v>
      </c>
      <c r="B279" s="56" t="s">
        <v>17</v>
      </c>
      <c r="C279" s="57"/>
      <c r="D279" s="74"/>
      <c r="E279" s="74"/>
      <c r="F279" s="20"/>
      <c r="G279" s="26"/>
      <c r="H279" s="8"/>
      <c r="I279" s="8"/>
      <c r="J279" s="29" t="s">
        <v>81</v>
      </c>
      <c r="K279" s="29" t="s">
        <v>81</v>
      </c>
      <c r="L279" s="29" t="s">
        <v>81</v>
      </c>
    </row>
    <row r="280" spans="1:12" ht="16.25" customHeight="1" x14ac:dyDescent="0.2">
      <c r="A280" s="10">
        <v>46116</v>
      </c>
      <c r="B280" s="56" t="s">
        <v>20</v>
      </c>
      <c r="C280" s="57"/>
      <c r="D280" s="74"/>
      <c r="E280" s="74"/>
      <c r="F280" s="20"/>
      <c r="G280" s="26"/>
      <c r="H280" s="8"/>
      <c r="I280" s="8"/>
      <c r="J280" s="29" t="s">
        <v>81</v>
      </c>
      <c r="K280" s="29" t="s">
        <v>81</v>
      </c>
      <c r="L280" s="29" t="s">
        <v>81</v>
      </c>
    </row>
    <row r="281" spans="1:12" ht="16.25" customHeight="1" x14ac:dyDescent="0.2">
      <c r="A281" s="10">
        <v>46117</v>
      </c>
      <c r="B281" s="56" t="s">
        <v>20</v>
      </c>
      <c r="C281" s="57"/>
      <c r="D281" s="74"/>
      <c r="E281" s="74"/>
      <c r="F281" s="20"/>
      <c r="G281" s="26"/>
      <c r="H281" s="8"/>
      <c r="I281" s="8"/>
      <c r="J281" s="29" t="s">
        <v>81</v>
      </c>
      <c r="K281" s="29" t="s">
        <v>81</v>
      </c>
      <c r="L281" s="29" t="s">
        <v>81</v>
      </c>
    </row>
    <row r="282" spans="1:12" ht="16.25" customHeight="1" x14ac:dyDescent="0.2">
      <c r="A282" s="10">
        <v>46118</v>
      </c>
      <c r="B282" s="56" t="s">
        <v>104</v>
      </c>
      <c r="C282" s="57"/>
      <c r="D282" s="74"/>
      <c r="E282" s="74"/>
      <c r="F282" s="20"/>
      <c r="G282" s="26"/>
      <c r="H282" s="8"/>
      <c r="I282" s="8"/>
      <c r="J282" s="29" t="s">
        <v>81</v>
      </c>
      <c r="K282" s="29" t="s">
        <v>87</v>
      </c>
      <c r="L282" s="29" t="s">
        <v>81</v>
      </c>
    </row>
    <row r="283" spans="1:12" ht="16.25" customHeight="1" x14ac:dyDescent="0.2">
      <c r="A283" s="17">
        <v>46119</v>
      </c>
      <c r="B283" s="64" t="s">
        <v>105</v>
      </c>
      <c r="C283" s="65"/>
      <c r="D283" s="79"/>
      <c r="E283" s="79"/>
      <c r="F283" s="22"/>
      <c r="G283" s="28"/>
      <c r="H283" s="19"/>
      <c r="I283" s="19"/>
      <c r="J283" s="32" t="s">
        <v>81</v>
      </c>
      <c r="K283" s="32"/>
      <c r="L283" s="32"/>
    </row>
    <row r="284" spans="1:12" ht="16.25" customHeight="1" x14ac:dyDescent="0.2">
      <c r="A284" s="7">
        <v>46120</v>
      </c>
      <c r="B284" s="61">
        <v>2</v>
      </c>
      <c r="C284" s="60"/>
      <c r="D284" s="76"/>
      <c r="E284" s="76"/>
      <c r="F284" s="21"/>
      <c r="G284" s="27">
        <f>1+SUM(G268:G274)</f>
        <v>31</v>
      </c>
      <c r="H284" s="5"/>
      <c r="I284" s="5"/>
      <c r="J284" s="29" t="s">
        <v>81</v>
      </c>
      <c r="K284" s="29"/>
      <c r="L284" s="29"/>
    </row>
    <row r="285" spans="1:12" ht="16.25" customHeight="1" x14ac:dyDescent="0.2">
      <c r="A285" s="7">
        <v>46121</v>
      </c>
      <c r="B285" s="61">
        <v>3</v>
      </c>
      <c r="C285" s="60"/>
      <c r="D285" s="76"/>
      <c r="E285" s="76"/>
      <c r="F285" s="21"/>
      <c r="G285" s="27"/>
      <c r="H285" s="5"/>
      <c r="I285" s="5"/>
      <c r="J285" s="29" t="s">
        <v>81</v>
      </c>
      <c r="K285" s="29"/>
      <c r="L285" s="29"/>
    </row>
    <row r="286" spans="1:12" ht="16.25" customHeight="1" x14ac:dyDescent="0.2">
      <c r="A286" s="7">
        <v>46122</v>
      </c>
      <c r="B286" s="61">
        <v>4</v>
      </c>
      <c r="C286" s="60"/>
      <c r="D286" s="76"/>
      <c r="E286" s="76"/>
      <c r="F286" s="21"/>
      <c r="G286" s="27"/>
      <c r="H286" s="5"/>
      <c r="I286" s="5"/>
      <c r="J286" s="29" t="s">
        <v>81</v>
      </c>
      <c r="K286" s="29"/>
      <c r="L286" s="29"/>
    </row>
    <row r="287" spans="1:12" ht="16.25" customHeight="1" x14ac:dyDescent="0.2">
      <c r="A287" s="10">
        <v>46123</v>
      </c>
      <c r="B287" s="56" t="s">
        <v>20</v>
      </c>
      <c r="C287" s="57"/>
      <c r="D287" s="74"/>
      <c r="E287" s="74"/>
      <c r="F287" s="20"/>
      <c r="G287" s="26"/>
      <c r="H287" s="8"/>
      <c r="I287" s="8"/>
      <c r="J287" s="29" t="s">
        <v>81</v>
      </c>
      <c r="K287" s="29"/>
      <c r="L287" s="29"/>
    </row>
    <row r="288" spans="1:12" ht="16.25" customHeight="1" x14ac:dyDescent="0.2">
      <c r="A288" s="10">
        <v>46124</v>
      </c>
      <c r="B288" s="56" t="s">
        <v>20</v>
      </c>
      <c r="C288" s="57"/>
      <c r="D288" s="74"/>
      <c r="E288" s="74"/>
      <c r="F288" s="20"/>
      <c r="G288" s="26"/>
      <c r="H288" s="8"/>
      <c r="I288" s="8"/>
      <c r="J288" s="29" t="s">
        <v>81</v>
      </c>
      <c r="K288" s="29"/>
      <c r="L288" s="29"/>
    </row>
    <row r="289" spans="1:12" ht="16.25" customHeight="1" x14ac:dyDescent="0.2">
      <c r="A289" s="7">
        <v>46125</v>
      </c>
      <c r="B289" s="61">
        <v>5</v>
      </c>
      <c r="C289" s="60"/>
      <c r="D289" s="76" t="s">
        <v>148</v>
      </c>
      <c r="E289" s="76"/>
      <c r="F289" s="21"/>
      <c r="G289" s="27">
        <f>1+SUM(G280:G286)</f>
        <v>32</v>
      </c>
      <c r="H289" s="5"/>
      <c r="I289" s="5"/>
      <c r="J289" s="29" t="s">
        <v>65</v>
      </c>
      <c r="K289" s="29"/>
      <c r="L289" s="29"/>
    </row>
    <row r="290" spans="1:12" ht="16.25" customHeight="1" x14ac:dyDescent="0.2">
      <c r="A290" s="7">
        <v>46126</v>
      </c>
      <c r="B290" s="61">
        <v>6</v>
      </c>
      <c r="C290" s="60"/>
      <c r="D290" s="76"/>
      <c r="E290" s="76"/>
      <c r="F290" s="21">
        <v>22</v>
      </c>
      <c r="G290" s="27"/>
      <c r="H290" s="5"/>
      <c r="I290" s="5"/>
      <c r="J290" s="29" t="s">
        <v>88</v>
      </c>
      <c r="K290" s="29"/>
      <c r="L290" s="29"/>
    </row>
    <row r="291" spans="1:12" ht="16.25" customHeight="1" x14ac:dyDescent="0.2">
      <c r="A291" s="7">
        <v>46127</v>
      </c>
      <c r="B291" s="61">
        <v>1</v>
      </c>
      <c r="C291" s="60"/>
      <c r="D291" s="76"/>
      <c r="E291" s="76"/>
      <c r="F291" s="21"/>
      <c r="G291" s="27"/>
      <c r="H291" s="5"/>
      <c r="I291" s="5"/>
      <c r="J291" s="29"/>
      <c r="K291" s="29"/>
      <c r="L291" s="29"/>
    </row>
    <row r="292" spans="1:12" ht="16.25" customHeight="1" x14ac:dyDescent="0.2">
      <c r="A292" s="7">
        <v>46128</v>
      </c>
      <c r="B292" s="61">
        <v>2</v>
      </c>
      <c r="C292" s="60"/>
      <c r="D292" s="76"/>
      <c r="E292" s="76"/>
      <c r="F292" s="21"/>
      <c r="G292" s="27"/>
      <c r="H292" s="5"/>
      <c r="I292" s="5"/>
      <c r="J292" s="29"/>
      <c r="K292" s="29"/>
      <c r="L292" s="29"/>
    </row>
    <row r="293" spans="1:12" ht="16.25" customHeight="1" x14ac:dyDescent="0.2">
      <c r="A293" s="46">
        <v>46129</v>
      </c>
      <c r="B293" s="66" t="s">
        <v>51</v>
      </c>
      <c r="C293" s="67" t="s">
        <v>106</v>
      </c>
      <c r="D293" s="80" t="s">
        <v>151</v>
      </c>
      <c r="E293" s="80"/>
      <c r="F293" s="48"/>
      <c r="G293" s="49"/>
      <c r="H293" s="50"/>
      <c r="I293" s="50"/>
      <c r="J293" s="51"/>
      <c r="K293" s="51"/>
      <c r="L293" s="51"/>
    </row>
    <row r="294" spans="1:12" ht="16.25" customHeight="1" x14ac:dyDescent="0.2">
      <c r="A294" s="10">
        <v>46130</v>
      </c>
      <c r="B294" s="56" t="s">
        <v>20</v>
      </c>
      <c r="C294" s="57"/>
      <c r="D294" s="74"/>
      <c r="E294" s="74"/>
      <c r="F294" s="20"/>
      <c r="G294" s="26"/>
      <c r="H294" s="8"/>
      <c r="I294" s="8"/>
      <c r="J294" s="29"/>
      <c r="K294" s="29"/>
      <c r="L294" s="29"/>
    </row>
    <row r="295" spans="1:12" ht="16.25" customHeight="1" x14ac:dyDescent="0.2">
      <c r="A295" s="10">
        <v>46131</v>
      </c>
      <c r="B295" s="56" t="s">
        <v>20</v>
      </c>
      <c r="C295" s="57"/>
      <c r="D295" s="74"/>
      <c r="E295" s="74"/>
      <c r="F295" s="20"/>
      <c r="G295" s="26"/>
      <c r="H295" s="8"/>
      <c r="I295" s="8"/>
      <c r="J295" s="29"/>
      <c r="K295" s="29"/>
      <c r="L295" s="29"/>
    </row>
    <row r="296" spans="1:12" ht="16.25" customHeight="1" x14ac:dyDescent="0.2">
      <c r="A296" s="7">
        <v>46132</v>
      </c>
      <c r="B296" s="61">
        <v>3</v>
      </c>
      <c r="C296" s="60"/>
      <c r="D296" s="76" t="s">
        <v>180</v>
      </c>
      <c r="E296" s="76"/>
      <c r="F296" s="21"/>
      <c r="G296" s="27">
        <f>1+SUM(G287:G293)</f>
        <v>33</v>
      </c>
      <c r="H296" s="5"/>
      <c r="I296" s="5"/>
      <c r="J296" s="29"/>
      <c r="K296" s="29"/>
      <c r="L296" s="29"/>
    </row>
    <row r="297" spans="1:12" ht="16.25" customHeight="1" x14ac:dyDescent="0.2">
      <c r="A297" s="7">
        <v>46133</v>
      </c>
      <c r="B297" s="61">
        <v>4</v>
      </c>
      <c r="C297" s="60"/>
      <c r="D297" s="76" t="s">
        <v>180</v>
      </c>
      <c r="E297" s="76"/>
      <c r="F297" s="21"/>
      <c r="G297" s="27"/>
      <c r="H297" s="5"/>
      <c r="I297" s="5"/>
      <c r="J297" s="29"/>
      <c r="K297" s="29"/>
      <c r="L297" s="29"/>
    </row>
    <row r="298" spans="1:12" ht="16.25" customHeight="1" x14ac:dyDescent="0.2">
      <c r="A298" s="7">
        <v>46134</v>
      </c>
      <c r="B298" s="61">
        <v>5</v>
      </c>
      <c r="C298" s="60"/>
      <c r="D298" s="76" t="s">
        <v>180</v>
      </c>
      <c r="E298" s="76"/>
      <c r="F298" s="21"/>
      <c r="G298" s="27"/>
      <c r="H298" s="5"/>
      <c r="I298" s="5"/>
      <c r="J298" s="29"/>
      <c r="K298" s="29"/>
      <c r="L298" s="29"/>
    </row>
    <row r="299" spans="1:12" ht="16.25" customHeight="1" x14ac:dyDescent="0.2">
      <c r="A299" s="7">
        <v>46135</v>
      </c>
      <c r="B299" s="61">
        <v>6</v>
      </c>
      <c r="C299" s="60"/>
      <c r="D299" s="76" t="s">
        <v>181</v>
      </c>
      <c r="E299" s="76"/>
      <c r="F299" s="21">
        <v>23</v>
      </c>
      <c r="G299" s="27"/>
      <c r="H299" s="5"/>
      <c r="I299" s="5"/>
      <c r="J299" s="29"/>
      <c r="K299" s="29"/>
      <c r="L299" s="29"/>
    </row>
    <row r="300" spans="1:12" ht="16.25" customHeight="1" x14ac:dyDescent="0.2">
      <c r="A300" s="7">
        <v>46136</v>
      </c>
      <c r="B300" s="61">
        <v>1</v>
      </c>
      <c r="C300" s="60"/>
      <c r="D300" s="76"/>
      <c r="E300" s="76"/>
      <c r="F300" s="21"/>
      <c r="G300" s="27"/>
      <c r="H300" s="5"/>
      <c r="I300" s="5"/>
      <c r="J300" s="29"/>
      <c r="K300" s="29"/>
      <c r="L300" s="29"/>
    </row>
    <row r="301" spans="1:12" ht="16.25" customHeight="1" x14ac:dyDescent="0.2">
      <c r="A301" s="10">
        <v>46137</v>
      </c>
      <c r="B301" s="56" t="s">
        <v>20</v>
      </c>
      <c r="C301" s="57"/>
      <c r="D301" s="74"/>
      <c r="E301" s="74"/>
      <c r="F301" s="20"/>
      <c r="G301" s="26"/>
      <c r="H301" s="8"/>
      <c r="I301" s="8"/>
      <c r="J301" s="29"/>
      <c r="K301" s="29"/>
      <c r="L301" s="29"/>
    </row>
    <row r="302" spans="1:12" ht="16.25" customHeight="1" x14ac:dyDescent="0.2">
      <c r="A302" s="10">
        <v>46138</v>
      </c>
      <c r="B302" s="56" t="s">
        <v>20</v>
      </c>
      <c r="C302" s="57"/>
      <c r="D302" s="74"/>
      <c r="E302" s="74"/>
      <c r="F302" s="20"/>
      <c r="G302" s="26"/>
      <c r="H302" s="8"/>
      <c r="I302" s="8"/>
      <c r="J302" s="29"/>
      <c r="K302" s="29"/>
      <c r="L302" s="29"/>
    </row>
    <row r="303" spans="1:12" ht="16.25" customHeight="1" x14ac:dyDescent="0.2">
      <c r="A303" s="7">
        <v>46139</v>
      </c>
      <c r="B303" s="61">
        <v>2</v>
      </c>
      <c r="C303" s="60"/>
      <c r="D303" s="76"/>
      <c r="E303" s="76"/>
      <c r="F303" s="21"/>
      <c r="G303" s="27">
        <f>1+SUM(G294:G300)</f>
        <v>34</v>
      </c>
      <c r="H303" s="5"/>
      <c r="I303" s="5"/>
      <c r="J303" s="29"/>
      <c r="K303" s="29"/>
      <c r="L303" s="29"/>
    </row>
    <row r="304" spans="1:12" ht="16.25" customHeight="1" x14ac:dyDescent="0.2">
      <c r="A304" s="7">
        <v>46140</v>
      </c>
      <c r="B304" s="61">
        <v>3</v>
      </c>
      <c r="C304" s="60"/>
      <c r="D304" s="76"/>
      <c r="E304" s="76"/>
      <c r="F304" s="21"/>
      <c r="G304" s="27"/>
      <c r="H304" s="5"/>
      <c r="I304" s="5"/>
      <c r="J304" s="29"/>
      <c r="K304" s="29"/>
      <c r="L304" s="29"/>
    </row>
    <row r="305" spans="1:12" ht="16.25" customHeight="1" x14ac:dyDescent="0.2">
      <c r="A305" s="7">
        <v>46141</v>
      </c>
      <c r="B305" s="61">
        <v>4</v>
      </c>
      <c r="C305" s="60"/>
      <c r="D305" s="76"/>
      <c r="E305" s="76"/>
      <c r="F305" s="21"/>
      <c r="G305" s="27"/>
      <c r="H305" s="5"/>
      <c r="I305" s="5"/>
      <c r="J305" s="29"/>
      <c r="K305" s="29"/>
      <c r="L305" s="29"/>
    </row>
    <row r="306" spans="1:12" ht="16.25" customHeight="1" x14ac:dyDescent="0.2">
      <c r="A306" s="7">
        <v>46142</v>
      </c>
      <c r="B306" s="61">
        <v>5</v>
      </c>
      <c r="C306" s="60"/>
      <c r="D306" s="76" t="s">
        <v>214</v>
      </c>
      <c r="E306" s="76"/>
      <c r="F306" s="21"/>
      <c r="G306" s="27"/>
      <c r="H306" s="5"/>
      <c r="I306" s="5"/>
      <c r="J306" s="29"/>
      <c r="K306" s="29"/>
      <c r="L306" s="29"/>
    </row>
    <row r="307" spans="1:12" ht="16.25" customHeight="1" x14ac:dyDescent="0.2">
      <c r="A307" s="10">
        <v>46143</v>
      </c>
      <c r="B307" s="56" t="s">
        <v>17</v>
      </c>
      <c r="C307" s="57"/>
      <c r="D307" s="74"/>
      <c r="E307" s="74"/>
      <c r="F307" s="20"/>
      <c r="G307" s="26"/>
      <c r="H307" s="8"/>
      <c r="I307" s="8"/>
      <c r="J307" s="29"/>
      <c r="K307" s="29"/>
      <c r="L307" s="29"/>
    </row>
    <row r="308" spans="1:12" ht="16.25" customHeight="1" x14ac:dyDescent="0.2">
      <c r="A308" s="10">
        <v>46144</v>
      </c>
      <c r="B308" s="56" t="s">
        <v>20</v>
      </c>
      <c r="C308" s="57"/>
      <c r="D308" s="74"/>
      <c r="E308" s="74"/>
      <c r="F308" s="20"/>
      <c r="G308" s="26"/>
      <c r="H308" s="8"/>
      <c r="I308" s="8"/>
      <c r="J308" s="29"/>
      <c r="K308" s="29"/>
      <c r="L308" s="29"/>
    </row>
    <row r="309" spans="1:12" ht="16.25" customHeight="1" x14ac:dyDescent="0.2">
      <c r="A309" s="10">
        <v>46145</v>
      </c>
      <c r="B309" s="56" t="s">
        <v>20</v>
      </c>
      <c r="C309" s="57"/>
      <c r="D309" s="74"/>
      <c r="E309" s="74"/>
      <c r="F309" s="20"/>
      <c r="G309" s="26"/>
      <c r="H309" s="8"/>
      <c r="I309" s="8"/>
      <c r="J309" s="29"/>
      <c r="K309" s="29"/>
      <c r="L309" s="29"/>
    </row>
    <row r="310" spans="1:12" ht="16.25" customHeight="1" x14ac:dyDescent="0.2">
      <c r="A310" s="7">
        <v>46146</v>
      </c>
      <c r="B310" s="61">
        <v>6</v>
      </c>
      <c r="C310" s="60"/>
      <c r="D310" s="76"/>
      <c r="E310" s="76"/>
      <c r="F310" s="21">
        <v>24</v>
      </c>
      <c r="G310" s="27">
        <f>1+SUM(G301:G307)</f>
        <v>35</v>
      </c>
      <c r="H310" s="5"/>
      <c r="I310" s="5"/>
      <c r="J310" s="29"/>
      <c r="K310" s="29"/>
      <c r="L310" s="29"/>
    </row>
    <row r="311" spans="1:12" ht="16.25" customHeight="1" x14ac:dyDescent="0.2">
      <c r="A311" s="7">
        <v>46147</v>
      </c>
      <c r="B311" s="61">
        <v>1</v>
      </c>
      <c r="C311" s="60"/>
      <c r="D311" s="76"/>
      <c r="E311" s="76"/>
      <c r="F311" s="21"/>
      <c r="G311" s="27"/>
      <c r="H311" s="5"/>
      <c r="I311" s="5"/>
      <c r="J311" s="29"/>
      <c r="K311" s="29"/>
      <c r="L311" s="29"/>
    </row>
    <row r="312" spans="1:12" ht="16.25" customHeight="1" x14ac:dyDescent="0.2">
      <c r="A312" s="7">
        <v>46148</v>
      </c>
      <c r="B312" s="61">
        <v>2</v>
      </c>
      <c r="C312" s="60"/>
      <c r="D312" s="76"/>
      <c r="E312" s="76"/>
      <c r="F312" s="21"/>
      <c r="G312" s="27"/>
      <c r="H312" s="5"/>
      <c r="I312" s="5"/>
      <c r="J312" s="29"/>
      <c r="K312" s="29"/>
      <c r="L312" s="29"/>
    </row>
    <row r="313" spans="1:12" ht="16.25" customHeight="1" x14ac:dyDescent="0.2">
      <c r="A313" s="7">
        <v>46149</v>
      </c>
      <c r="B313" s="61">
        <v>3</v>
      </c>
      <c r="C313" s="60"/>
      <c r="D313" s="76" t="s">
        <v>182</v>
      </c>
      <c r="E313" s="76"/>
      <c r="F313" s="21"/>
      <c r="G313" s="27"/>
      <c r="H313" s="5"/>
      <c r="I313" s="5"/>
      <c r="J313" s="29"/>
      <c r="K313" s="29"/>
      <c r="L313" s="29"/>
    </row>
    <row r="314" spans="1:12" ht="16.25" customHeight="1" x14ac:dyDescent="0.2">
      <c r="A314" s="7">
        <v>46150</v>
      </c>
      <c r="B314" s="61">
        <v>4</v>
      </c>
      <c r="C314" s="60"/>
      <c r="D314" s="76"/>
      <c r="E314" s="76"/>
      <c r="F314" s="21"/>
      <c r="G314" s="27"/>
      <c r="H314" s="5"/>
      <c r="I314" s="5"/>
      <c r="J314" s="29"/>
      <c r="K314" s="29"/>
      <c r="L314" s="29"/>
    </row>
    <row r="315" spans="1:12" ht="16.25" customHeight="1" x14ac:dyDescent="0.2">
      <c r="A315" s="10">
        <v>46151</v>
      </c>
      <c r="B315" s="56" t="s">
        <v>20</v>
      </c>
      <c r="C315" s="57"/>
      <c r="D315" s="74"/>
      <c r="E315" s="74"/>
      <c r="F315" s="20"/>
      <c r="G315" s="26"/>
      <c r="H315" s="8"/>
      <c r="I315" s="8"/>
      <c r="J315" s="29"/>
      <c r="K315" s="29"/>
      <c r="L315" s="29"/>
    </row>
    <row r="316" spans="1:12" ht="16.25" customHeight="1" x14ac:dyDescent="0.2">
      <c r="A316" s="10">
        <v>46152</v>
      </c>
      <c r="B316" s="56" t="s">
        <v>20</v>
      </c>
      <c r="C316" s="57"/>
      <c r="D316" s="74"/>
      <c r="E316" s="74"/>
      <c r="F316" s="20"/>
      <c r="G316" s="26"/>
      <c r="H316" s="8"/>
      <c r="I316" s="8"/>
      <c r="J316" s="29"/>
      <c r="K316" s="29"/>
      <c r="L316" s="29"/>
    </row>
    <row r="317" spans="1:12" ht="16.25" customHeight="1" x14ac:dyDescent="0.2">
      <c r="A317" s="7">
        <v>46153</v>
      </c>
      <c r="B317" s="61">
        <v>5</v>
      </c>
      <c r="C317" s="60"/>
      <c r="D317" s="76" t="s">
        <v>158</v>
      </c>
      <c r="E317" s="76"/>
      <c r="F317" s="21"/>
      <c r="G317" s="27">
        <f>1+SUM(G308:G314)</f>
        <v>36</v>
      </c>
      <c r="H317" s="5"/>
      <c r="I317" s="5"/>
      <c r="J317" s="29"/>
      <c r="K317" s="29"/>
      <c r="L317" s="29"/>
    </row>
    <row r="318" spans="1:12" ht="16.25" customHeight="1" x14ac:dyDescent="0.2">
      <c r="A318" s="7">
        <v>46154</v>
      </c>
      <c r="B318" s="61">
        <v>6</v>
      </c>
      <c r="C318" s="60"/>
      <c r="D318" s="76"/>
      <c r="E318" s="76"/>
      <c r="F318" s="21">
        <v>25</v>
      </c>
      <c r="G318" s="27"/>
      <c r="H318" s="5"/>
      <c r="I318" s="5"/>
      <c r="J318" s="29"/>
      <c r="K318" s="29"/>
      <c r="L318" s="29"/>
    </row>
    <row r="319" spans="1:12" ht="16.25" customHeight="1" x14ac:dyDescent="0.2">
      <c r="A319" s="7">
        <v>46155</v>
      </c>
      <c r="B319" s="61">
        <v>1</v>
      </c>
      <c r="C319" s="60"/>
      <c r="D319" s="76"/>
      <c r="E319" s="76"/>
      <c r="F319" s="21"/>
      <c r="G319" s="27"/>
      <c r="H319" s="5"/>
      <c r="I319" s="5"/>
      <c r="J319" s="29"/>
      <c r="K319" s="29"/>
      <c r="L319" s="29"/>
    </row>
    <row r="320" spans="1:12" ht="16.25" customHeight="1" x14ac:dyDescent="0.2">
      <c r="A320" s="7">
        <v>46156</v>
      </c>
      <c r="B320" s="61">
        <v>2</v>
      </c>
      <c r="C320" s="60"/>
      <c r="D320" s="76" t="s">
        <v>183</v>
      </c>
      <c r="E320" s="76"/>
      <c r="F320" s="21"/>
      <c r="G320" s="27"/>
      <c r="H320" s="5"/>
      <c r="I320" s="5"/>
      <c r="J320" s="29"/>
      <c r="K320" s="29"/>
      <c r="L320" s="29"/>
    </row>
    <row r="321" spans="1:12" ht="16.25" customHeight="1" x14ac:dyDescent="0.2">
      <c r="A321" s="10">
        <v>46157</v>
      </c>
      <c r="B321" s="56" t="s">
        <v>109</v>
      </c>
      <c r="C321" s="57"/>
      <c r="D321" s="74"/>
      <c r="E321" s="74"/>
      <c r="F321" s="20"/>
      <c r="G321" s="26"/>
      <c r="H321" s="8"/>
      <c r="I321" s="8"/>
      <c r="J321" s="29"/>
      <c r="K321" s="29"/>
      <c r="L321" s="29"/>
    </row>
    <row r="322" spans="1:12" ht="16.25" customHeight="1" x14ac:dyDescent="0.2">
      <c r="A322" s="10">
        <v>46158</v>
      </c>
      <c r="B322" s="56" t="s">
        <v>20</v>
      </c>
      <c r="C322" s="57"/>
      <c r="D322" s="74"/>
      <c r="E322" s="74"/>
      <c r="F322" s="20"/>
      <c r="G322" s="26"/>
      <c r="H322" s="8"/>
      <c r="I322" s="8"/>
      <c r="J322" s="29"/>
      <c r="K322" s="29"/>
      <c r="L322" s="29"/>
    </row>
    <row r="323" spans="1:12" ht="16.25" customHeight="1" x14ac:dyDescent="0.2">
      <c r="A323" s="10">
        <v>46159</v>
      </c>
      <c r="B323" s="56" t="s">
        <v>20</v>
      </c>
      <c r="C323" s="57"/>
      <c r="D323" s="74"/>
      <c r="E323" s="74"/>
      <c r="F323" s="20"/>
      <c r="G323" s="26"/>
      <c r="H323" s="8"/>
      <c r="I323" s="8"/>
      <c r="J323" s="29"/>
      <c r="K323" s="29"/>
      <c r="L323" s="29"/>
    </row>
    <row r="324" spans="1:12" ht="16.25" customHeight="1" x14ac:dyDescent="0.2">
      <c r="A324" s="10">
        <v>46160</v>
      </c>
      <c r="B324" s="56" t="s">
        <v>17</v>
      </c>
      <c r="C324" s="57"/>
      <c r="D324" s="74"/>
      <c r="E324" s="74"/>
      <c r="F324" s="20"/>
      <c r="G324" s="26"/>
      <c r="H324" s="8"/>
      <c r="I324" s="8"/>
      <c r="J324" s="29"/>
      <c r="K324" s="29"/>
      <c r="L324" s="29"/>
    </row>
    <row r="325" spans="1:12" ht="16.25" customHeight="1" x14ac:dyDescent="0.2">
      <c r="A325" s="7">
        <v>46161</v>
      </c>
      <c r="B325" s="61">
        <v>3</v>
      </c>
      <c r="C325" s="60"/>
      <c r="D325" s="76" t="s">
        <v>215</v>
      </c>
      <c r="E325" s="76"/>
      <c r="F325" s="21"/>
      <c r="G325" s="27">
        <f>1+SUM(G316:G322)</f>
        <v>37</v>
      </c>
      <c r="H325" s="5"/>
      <c r="I325" s="5"/>
      <c r="J325" s="29"/>
      <c r="K325" s="29"/>
      <c r="L325" s="29"/>
    </row>
    <row r="326" spans="1:12" ht="16.25" customHeight="1" x14ac:dyDescent="0.2">
      <c r="A326" s="7">
        <v>46162</v>
      </c>
      <c r="B326" s="61">
        <v>4</v>
      </c>
      <c r="C326" s="60"/>
      <c r="D326" s="84" t="s">
        <v>215</v>
      </c>
      <c r="E326" s="76"/>
      <c r="F326" s="21"/>
      <c r="G326" s="27"/>
      <c r="H326" s="5"/>
      <c r="I326" s="5"/>
      <c r="J326" s="29"/>
      <c r="K326" s="29"/>
      <c r="L326" s="29"/>
    </row>
    <row r="327" spans="1:12" ht="16.25" customHeight="1" x14ac:dyDescent="0.2">
      <c r="A327" s="7">
        <v>46163</v>
      </c>
      <c r="B327" s="61">
        <v>5</v>
      </c>
      <c r="C327" s="60"/>
      <c r="D327" s="84" t="s">
        <v>215</v>
      </c>
      <c r="E327" s="76"/>
      <c r="F327" s="21"/>
      <c r="G327" s="27"/>
      <c r="H327" s="5"/>
      <c r="I327" s="5"/>
      <c r="J327" s="29"/>
      <c r="K327" s="29"/>
      <c r="L327" s="29"/>
    </row>
    <row r="328" spans="1:12" ht="16.25" customHeight="1" x14ac:dyDescent="0.2">
      <c r="A328" s="7">
        <v>46164</v>
      </c>
      <c r="B328" s="58" t="s">
        <v>51</v>
      </c>
      <c r="C328" s="60" t="s">
        <v>112</v>
      </c>
      <c r="D328" s="76" t="s">
        <v>112</v>
      </c>
      <c r="E328" s="76"/>
      <c r="F328" s="21"/>
      <c r="G328" s="27"/>
      <c r="H328" s="5"/>
      <c r="I328" s="5"/>
      <c r="J328" s="29"/>
      <c r="K328" s="29"/>
      <c r="L328" s="29"/>
    </row>
    <row r="329" spans="1:12" ht="16.25" customHeight="1" x14ac:dyDescent="0.2">
      <c r="A329" s="10">
        <v>46165</v>
      </c>
      <c r="B329" s="56" t="s">
        <v>20</v>
      </c>
      <c r="C329" s="57"/>
      <c r="D329" s="74"/>
      <c r="E329" s="74"/>
      <c r="F329" s="20"/>
      <c r="G329" s="26"/>
      <c r="H329" s="8"/>
      <c r="I329" s="8"/>
      <c r="J329" s="29"/>
      <c r="K329" s="29"/>
      <c r="L329" s="29"/>
    </row>
    <row r="330" spans="1:12" ht="16.25" customHeight="1" x14ac:dyDescent="0.2">
      <c r="A330" s="10">
        <v>46166</v>
      </c>
      <c r="B330" s="56" t="s">
        <v>20</v>
      </c>
      <c r="C330" s="57"/>
      <c r="D330" s="74"/>
      <c r="E330" s="74"/>
      <c r="F330" s="20"/>
      <c r="G330" s="26"/>
      <c r="H330" s="8"/>
      <c r="I330" s="8"/>
      <c r="J330" s="29"/>
      <c r="K330" s="29"/>
      <c r="L330" s="29"/>
    </row>
    <row r="331" spans="1:12" ht="16.25" customHeight="1" x14ac:dyDescent="0.2">
      <c r="A331" s="7">
        <v>46167</v>
      </c>
      <c r="B331" s="61">
        <v>6</v>
      </c>
      <c r="C331" s="60" t="s">
        <v>77</v>
      </c>
      <c r="D331" s="76"/>
      <c r="E331" s="76"/>
      <c r="F331" s="21">
        <v>26</v>
      </c>
      <c r="G331" s="27">
        <f>1+SUM(G322:G328)</f>
        <v>38</v>
      </c>
      <c r="H331" s="5"/>
      <c r="I331" s="5"/>
      <c r="J331" s="29"/>
      <c r="K331" s="29"/>
      <c r="L331" s="29"/>
    </row>
    <row r="332" spans="1:12" ht="16.25" customHeight="1" x14ac:dyDescent="0.2">
      <c r="A332" s="7">
        <v>46168</v>
      </c>
      <c r="B332" s="61">
        <v>1</v>
      </c>
      <c r="C332" s="60" t="s">
        <v>77</v>
      </c>
      <c r="D332" s="76"/>
      <c r="E332" s="76"/>
      <c r="F332" s="21"/>
      <c r="G332" s="27"/>
      <c r="H332" s="5"/>
      <c r="I332" s="5"/>
      <c r="J332" s="29"/>
      <c r="K332" s="29"/>
      <c r="L332" s="29"/>
    </row>
    <row r="333" spans="1:12" ht="16.25" customHeight="1" x14ac:dyDescent="0.2">
      <c r="A333" s="7">
        <v>46169</v>
      </c>
      <c r="B333" s="61">
        <v>2</v>
      </c>
      <c r="C333" s="60" t="s">
        <v>77</v>
      </c>
      <c r="D333" s="76"/>
      <c r="E333" s="76"/>
      <c r="F333" s="21"/>
      <c r="G333" s="27"/>
      <c r="H333" s="5"/>
      <c r="I333" s="5"/>
      <c r="J333" s="29"/>
      <c r="K333" s="29"/>
      <c r="L333" s="29"/>
    </row>
    <row r="334" spans="1:12" ht="16.25" customHeight="1" x14ac:dyDescent="0.2">
      <c r="A334" s="7">
        <v>46170</v>
      </c>
      <c r="B334" s="61">
        <v>3</v>
      </c>
      <c r="C334" s="60" t="s">
        <v>77</v>
      </c>
      <c r="D334" s="76"/>
      <c r="E334" s="76"/>
      <c r="F334" s="21"/>
      <c r="G334" s="27"/>
      <c r="H334" s="5"/>
      <c r="I334" s="5"/>
      <c r="J334" s="29"/>
      <c r="K334" s="29"/>
      <c r="L334" s="29"/>
    </row>
    <row r="335" spans="1:12" ht="16.25" customHeight="1" x14ac:dyDescent="0.2">
      <c r="A335" s="7">
        <v>46171</v>
      </c>
      <c r="B335" s="61">
        <v>4</v>
      </c>
      <c r="C335" s="60" t="s">
        <v>77</v>
      </c>
      <c r="D335" s="81"/>
      <c r="E335" s="76"/>
      <c r="F335" s="21"/>
      <c r="G335" s="27"/>
      <c r="H335" s="5"/>
      <c r="I335" s="5"/>
      <c r="J335" s="29"/>
      <c r="K335" s="29"/>
      <c r="L335" s="29"/>
    </row>
    <row r="336" spans="1:12" ht="16.25" customHeight="1" x14ac:dyDescent="0.2">
      <c r="A336" s="10">
        <v>46172</v>
      </c>
      <c r="B336" s="56" t="s">
        <v>20</v>
      </c>
      <c r="C336" s="57"/>
      <c r="D336" s="74"/>
      <c r="E336" s="74"/>
      <c r="F336" s="20"/>
      <c r="G336" s="26"/>
      <c r="H336" s="8"/>
      <c r="I336" s="8"/>
      <c r="J336" s="29"/>
      <c r="K336" s="29"/>
      <c r="L336" s="29"/>
    </row>
    <row r="337" spans="1:12" ht="16.25" customHeight="1" x14ac:dyDescent="0.2">
      <c r="A337" s="10">
        <v>46173</v>
      </c>
      <c r="B337" s="56" t="s">
        <v>20</v>
      </c>
      <c r="C337" s="57"/>
      <c r="D337" s="74"/>
      <c r="E337" s="74"/>
      <c r="F337" s="20"/>
      <c r="G337" s="26"/>
      <c r="H337" s="8"/>
      <c r="I337" s="8"/>
      <c r="J337" s="29"/>
      <c r="K337" s="29"/>
      <c r="L337" s="29"/>
    </row>
    <row r="338" spans="1:12" ht="16.25" customHeight="1" x14ac:dyDescent="0.2">
      <c r="A338" s="7">
        <v>46174</v>
      </c>
      <c r="B338" s="61">
        <v>5</v>
      </c>
      <c r="C338" s="60" t="s">
        <v>77</v>
      </c>
      <c r="D338" s="76"/>
      <c r="E338" s="76"/>
      <c r="F338" s="21"/>
      <c r="G338" s="27">
        <f>1+SUM(G329:G335)</f>
        <v>39</v>
      </c>
      <c r="H338" s="5"/>
      <c r="I338" s="5"/>
      <c r="J338" s="29"/>
      <c r="K338" s="29"/>
      <c r="L338" s="29"/>
    </row>
    <row r="339" spans="1:12" ht="16.25" customHeight="1" x14ac:dyDescent="0.2">
      <c r="A339" s="7">
        <v>46175</v>
      </c>
      <c r="B339" s="61">
        <v>6</v>
      </c>
      <c r="C339" s="60" t="s">
        <v>77</v>
      </c>
      <c r="D339" s="76"/>
      <c r="E339" s="76"/>
      <c r="F339" s="21">
        <v>27</v>
      </c>
      <c r="G339" s="27"/>
      <c r="H339" s="5"/>
      <c r="I339" s="5"/>
      <c r="J339" s="29"/>
      <c r="K339" s="29"/>
      <c r="L339" s="29"/>
    </row>
    <row r="340" spans="1:12" ht="16.25" customHeight="1" x14ac:dyDescent="0.2">
      <c r="A340" s="7">
        <v>46176</v>
      </c>
      <c r="B340" s="61">
        <v>1</v>
      </c>
      <c r="C340" s="69"/>
      <c r="D340" s="76"/>
      <c r="E340" s="76"/>
      <c r="F340" s="21"/>
      <c r="G340" s="27"/>
      <c r="H340" s="5"/>
      <c r="I340" s="5"/>
      <c r="J340" s="29"/>
      <c r="K340" s="29"/>
      <c r="L340" s="29"/>
    </row>
    <row r="341" spans="1:12" ht="16.25" customHeight="1" x14ac:dyDescent="0.2">
      <c r="A341" s="7">
        <v>46177</v>
      </c>
      <c r="B341" s="61">
        <v>2</v>
      </c>
      <c r="C341" s="60"/>
      <c r="D341" s="76" t="s">
        <v>148</v>
      </c>
      <c r="E341" s="76"/>
      <c r="F341" s="21"/>
      <c r="G341" s="27"/>
      <c r="H341" s="5"/>
      <c r="I341" s="5"/>
      <c r="J341" s="29"/>
      <c r="K341" s="29"/>
      <c r="L341" s="29"/>
    </row>
    <row r="342" spans="1:12" ht="16.25" customHeight="1" x14ac:dyDescent="0.2">
      <c r="A342" s="7">
        <v>46178</v>
      </c>
      <c r="B342" s="61">
        <v>3</v>
      </c>
      <c r="C342" s="60"/>
      <c r="D342" s="76"/>
      <c r="E342" s="76"/>
      <c r="F342" s="21"/>
      <c r="G342" s="27"/>
      <c r="H342" s="5"/>
      <c r="I342" s="5"/>
      <c r="J342" s="29"/>
      <c r="K342" s="29"/>
      <c r="L342" s="29"/>
    </row>
    <row r="343" spans="1:12" ht="16.25" customHeight="1" x14ac:dyDescent="0.2">
      <c r="A343" s="10">
        <v>46179</v>
      </c>
      <c r="B343" s="56" t="s">
        <v>20</v>
      </c>
      <c r="C343" s="57"/>
      <c r="D343" s="74"/>
      <c r="E343" s="74"/>
      <c r="F343" s="20"/>
      <c r="G343" s="26"/>
      <c r="H343" s="8"/>
      <c r="I343" s="8"/>
      <c r="J343" s="29"/>
      <c r="K343" s="29"/>
      <c r="L343" s="29"/>
    </row>
    <row r="344" spans="1:12" ht="16.25" customHeight="1" x14ac:dyDescent="0.2">
      <c r="A344" s="10">
        <v>46180</v>
      </c>
      <c r="B344" s="56" t="s">
        <v>20</v>
      </c>
      <c r="C344" s="57"/>
      <c r="D344" s="74"/>
      <c r="E344" s="74"/>
      <c r="F344" s="20"/>
      <c r="G344" s="26"/>
      <c r="H344" s="8"/>
      <c r="I344" s="8"/>
      <c r="J344" s="29"/>
      <c r="K344" s="29"/>
      <c r="L344" s="29"/>
    </row>
    <row r="345" spans="1:12" ht="16.25" customHeight="1" x14ac:dyDescent="0.2">
      <c r="A345" s="10">
        <v>46181</v>
      </c>
      <c r="B345" s="56" t="s">
        <v>17</v>
      </c>
      <c r="C345" s="57"/>
      <c r="D345" s="74"/>
      <c r="E345" s="74"/>
      <c r="F345" s="20"/>
      <c r="G345" s="26"/>
      <c r="H345" s="8"/>
      <c r="I345" s="8"/>
      <c r="J345" s="29"/>
      <c r="K345" s="29"/>
      <c r="L345" s="29"/>
    </row>
    <row r="346" spans="1:12" ht="16.25" customHeight="1" x14ac:dyDescent="0.2">
      <c r="A346" s="17">
        <v>46182</v>
      </c>
      <c r="B346" s="64" t="s">
        <v>114</v>
      </c>
      <c r="C346" s="70" t="s">
        <v>115</v>
      </c>
      <c r="D346" s="79"/>
      <c r="E346" s="79"/>
      <c r="F346" s="22"/>
      <c r="G346" s="28">
        <f>1+SUM(G337:G343)</f>
        <v>40</v>
      </c>
      <c r="H346" s="19"/>
      <c r="I346" s="19"/>
      <c r="J346" s="32"/>
      <c r="K346" s="32"/>
      <c r="L346" s="32"/>
    </row>
    <row r="347" spans="1:12" ht="16.25" customHeight="1" x14ac:dyDescent="0.2">
      <c r="A347" s="7">
        <v>46183</v>
      </c>
      <c r="B347" s="61">
        <v>5</v>
      </c>
      <c r="C347" s="69"/>
      <c r="D347" s="76"/>
      <c r="E347" s="76"/>
      <c r="F347" s="21"/>
      <c r="G347" s="27"/>
      <c r="H347" s="5"/>
      <c r="I347" s="5"/>
      <c r="J347" s="29"/>
      <c r="K347" s="29"/>
      <c r="L347" s="29"/>
    </row>
    <row r="348" spans="1:12" ht="16.25" customHeight="1" x14ac:dyDescent="0.2">
      <c r="A348" s="7">
        <v>46184</v>
      </c>
      <c r="B348" s="61">
        <v>6</v>
      </c>
      <c r="C348" s="69" t="s">
        <v>116</v>
      </c>
      <c r="D348" s="76"/>
      <c r="E348" s="76"/>
      <c r="F348" s="21">
        <v>28</v>
      </c>
      <c r="G348" s="27"/>
      <c r="H348" s="5"/>
      <c r="I348" s="5"/>
      <c r="J348" s="29"/>
      <c r="K348" s="29"/>
      <c r="L348" s="29"/>
    </row>
    <row r="349" spans="1:12" ht="16.25" customHeight="1" x14ac:dyDescent="0.2">
      <c r="A349" s="37">
        <v>46185</v>
      </c>
      <c r="B349" s="62">
        <v>1</v>
      </c>
      <c r="C349" s="63" t="s">
        <v>117</v>
      </c>
      <c r="D349" s="78" t="s">
        <v>216</v>
      </c>
      <c r="E349" s="78"/>
      <c r="F349" s="40"/>
      <c r="G349" s="41"/>
      <c r="H349" s="42"/>
      <c r="I349" s="42"/>
      <c r="J349" s="43"/>
      <c r="K349" s="43"/>
      <c r="L349" s="43" t="s">
        <v>118</v>
      </c>
    </row>
    <row r="350" spans="1:12" ht="16.25" customHeight="1" x14ac:dyDescent="0.2">
      <c r="A350" s="10">
        <v>46186</v>
      </c>
      <c r="B350" s="56" t="s">
        <v>20</v>
      </c>
      <c r="C350" s="57"/>
      <c r="D350" s="74"/>
      <c r="E350" s="74"/>
      <c r="F350" s="20"/>
      <c r="G350" s="26"/>
      <c r="H350" s="8"/>
      <c r="I350" s="8"/>
      <c r="J350" s="29"/>
      <c r="K350" s="29"/>
      <c r="L350" s="29"/>
    </row>
    <row r="351" spans="1:12" ht="16.25" customHeight="1" x14ac:dyDescent="0.2">
      <c r="A351" s="10">
        <v>46187</v>
      </c>
      <c r="B351" s="56" t="s">
        <v>20</v>
      </c>
      <c r="C351" s="57"/>
      <c r="D351" s="74"/>
      <c r="E351" s="74"/>
      <c r="F351" s="20"/>
      <c r="G351" s="26"/>
      <c r="H351" s="8"/>
      <c r="I351" s="8"/>
      <c r="J351" s="29"/>
      <c r="K351" s="29"/>
      <c r="L351" s="29"/>
    </row>
    <row r="352" spans="1:12" ht="16.25" customHeight="1" x14ac:dyDescent="0.2">
      <c r="A352" s="10">
        <v>46188</v>
      </c>
      <c r="B352" s="56" t="s">
        <v>17</v>
      </c>
      <c r="C352" s="57"/>
      <c r="D352" s="74"/>
      <c r="E352" s="74"/>
      <c r="F352" s="20"/>
      <c r="G352" s="26"/>
      <c r="H352" s="8"/>
      <c r="I352" s="8"/>
      <c r="J352" s="29"/>
      <c r="K352" s="29"/>
      <c r="L352" s="29"/>
    </row>
    <row r="353" spans="1:12" ht="16.25" customHeight="1" x14ac:dyDescent="0.2">
      <c r="A353" s="46">
        <v>46189</v>
      </c>
      <c r="B353" s="66" t="s">
        <v>51</v>
      </c>
      <c r="C353" s="67" t="s">
        <v>119</v>
      </c>
      <c r="D353" s="80" t="s">
        <v>151</v>
      </c>
      <c r="E353" s="80"/>
      <c r="F353" s="48"/>
      <c r="G353" s="49"/>
      <c r="H353" s="50"/>
      <c r="I353" s="50"/>
      <c r="J353" s="51"/>
      <c r="K353" s="51"/>
      <c r="L353" s="51" t="s">
        <v>120</v>
      </c>
    </row>
    <row r="354" spans="1:12" ht="16.25" customHeight="1" x14ac:dyDescent="0.2">
      <c r="A354" s="7">
        <v>46190</v>
      </c>
      <c r="B354" s="58" t="s">
        <v>23</v>
      </c>
      <c r="C354" s="60" t="s">
        <v>121</v>
      </c>
      <c r="D354" s="76" t="s">
        <v>186</v>
      </c>
      <c r="E354" s="76"/>
      <c r="F354" s="21"/>
      <c r="G354" s="27"/>
      <c r="H354" s="5"/>
      <c r="I354" s="5"/>
      <c r="J354" s="29" t="s">
        <v>122</v>
      </c>
      <c r="K354" s="29" t="s">
        <v>123</v>
      </c>
      <c r="L354" s="29" t="s">
        <v>120</v>
      </c>
    </row>
    <row r="355" spans="1:12" ht="16.25" customHeight="1" x14ac:dyDescent="0.2">
      <c r="A355" s="7">
        <v>46191</v>
      </c>
      <c r="B355" s="58" t="s">
        <v>23</v>
      </c>
      <c r="C355" s="59" t="s">
        <v>124</v>
      </c>
      <c r="D355" s="75" t="s">
        <v>186</v>
      </c>
      <c r="E355" s="75"/>
      <c r="F355" s="21"/>
      <c r="G355" s="27"/>
      <c r="H355" s="5"/>
      <c r="I355" s="5"/>
      <c r="J355" s="29"/>
      <c r="K355" s="29" t="s">
        <v>125</v>
      </c>
      <c r="L355" s="29" t="s">
        <v>120</v>
      </c>
    </row>
    <row r="356" spans="1:12" ht="16.25" customHeight="1" x14ac:dyDescent="0.2">
      <c r="A356" s="7">
        <v>46192</v>
      </c>
      <c r="B356" s="58" t="s">
        <v>23</v>
      </c>
      <c r="C356" s="59" t="s">
        <v>126</v>
      </c>
      <c r="D356" s="75"/>
      <c r="E356" s="75"/>
      <c r="F356" s="21"/>
      <c r="G356" s="27"/>
      <c r="H356" s="5"/>
      <c r="I356" s="5"/>
      <c r="J356" s="29"/>
      <c r="K356" s="29" t="s">
        <v>127</v>
      </c>
      <c r="L356" s="29" t="s">
        <v>120</v>
      </c>
    </row>
    <row r="357" spans="1:12" ht="16.25" customHeight="1" x14ac:dyDescent="0.2">
      <c r="A357" s="10">
        <v>46193</v>
      </c>
      <c r="B357" s="56" t="s">
        <v>20</v>
      </c>
      <c r="C357" s="57"/>
      <c r="D357" s="74"/>
      <c r="E357" s="74"/>
      <c r="F357" s="20"/>
      <c r="G357" s="26"/>
      <c r="H357" s="8"/>
      <c r="I357" s="8"/>
      <c r="J357" s="29"/>
      <c r="K357" s="29"/>
      <c r="L357" s="29"/>
    </row>
    <row r="358" spans="1:12" ht="16.25" customHeight="1" x14ac:dyDescent="0.2">
      <c r="A358" s="10">
        <v>46194</v>
      </c>
      <c r="B358" s="56" t="s">
        <v>20</v>
      </c>
      <c r="C358" s="57"/>
      <c r="D358" s="74"/>
      <c r="E358" s="74"/>
      <c r="F358" s="20"/>
      <c r="G358" s="26"/>
      <c r="H358" s="8"/>
      <c r="I358" s="8"/>
      <c r="J358" s="29"/>
      <c r="K358" s="29"/>
      <c r="L358" s="29"/>
    </row>
    <row r="359" spans="1:12" ht="16.25" customHeight="1" x14ac:dyDescent="0.2">
      <c r="A359" s="7">
        <v>46195</v>
      </c>
      <c r="B359" s="58" t="s">
        <v>23</v>
      </c>
      <c r="C359" s="60" t="s">
        <v>124</v>
      </c>
      <c r="D359" s="76"/>
      <c r="E359" s="76"/>
      <c r="F359" s="21"/>
      <c r="G359" s="27"/>
      <c r="H359" s="5"/>
      <c r="I359" s="5"/>
      <c r="J359" s="29"/>
      <c r="K359" s="29"/>
      <c r="L359" s="29"/>
    </row>
    <row r="360" spans="1:12" ht="16.25" customHeight="1" x14ac:dyDescent="0.2">
      <c r="A360" s="7">
        <v>46196</v>
      </c>
      <c r="B360" s="58" t="s">
        <v>23</v>
      </c>
      <c r="C360" s="60" t="s">
        <v>124</v>
      </c>
      <c r="D360" s="76"/>
      <c r="E360" s="76"/>
      <c r="F360" s="21"/>
      <c r="G360" s="27"/>
      <c r="H360" s="5"/>
      <c r="I360" s="5"/>
      <c r="J360" s="29" t="s">
        <v>128</v>
      </c>
      <c r="K360" s="29"/>
      <c r="L360" s="29"/>
    </row>
    <row r="361" spans="1:12" ht="16.25" customHeight="1" x14ac:dyDescent="0.2">
      <c r="A361" s="7">
        <v>46197</v>
      </c>
      <c r="B361" s="58" t="s">
        <v>23</v>
      </c>
      <c r="C361" s="60" t="s">
        <v>124</v>
      </c>
      <c r="D361" s="76"/>
      <c r="E361" s="76"/>
      <c r="F361" s="21"/>
      <c r="G361" s="27"/>
      <c r="H361" s="5"/>
      <c r="I361" s="5"/>
      <c r="J361" s="29" t="s">
        <v>129</v>
      </c>
      <c r="K361" s="29"/>
      <c r="L361" s="29"/>
    </row>
    <row r="362" spans="1:12" ht="16.25" customHeight="1" x14ac:dyDescent="0.2">
      <c r="A362" s="7">
        <v>46198</v>
      </c>
      <c r="B362" s="58" t="s">
        <v>23</v>
      </c>
      <c r="C362" s="60" t="s">
        <v>124</v>
      </c>
      <c r="D362" s="76"/>
      <c r="E362" s="76"/>
      <c r="F362" s="21"/>
      <c r="G362" s="27"/>
      <c r="H362" s="5"/>
      <c r="I362" s="5"/>
      <c r="J362" s="29"/>
      <c r="K362" s="29"/>
      <c r="L362" s="29"/>
    </row>
    <row r="363" spans="1:12" ht="16.25" customHeight="1" x14ac:dyDescent="0.2">
      <c r="A363" s="7">
        <v>46199</v>
      </c>
      <c r="B363" s="58" t="s">
        <v>23</v>
      </c>
      <c r="C363" s="69" t="s">
        <v>130</v>
      </c>
      <c r="D363" s="76"/>
      <c r="E363" s="76"/>
      <c r="F363" s="21"/>
      <c r="G363" s="27"/>
      <c r="H363" s="5"/>
      <c r="I363" s="5"/>
      <c r="J363" s="29"/>
      <c r="K363" s="29"/>
      <c r="L363" s="29"/>
    </row>
    <row r="364" spans="1:12" ht="16.25" customHeight="1" x14ac:dyDescent="0.2">
      <c r="A364" s="10">
        <v>46200</v>
      </c>
      <c r="B364" s="56" t="s">
        <v>20</v>
      </c>
      <c r="C364" s="57"/>
      <c r="D364" s="74"/>
      <c r="E364" s="74"/>
      <c r="F364" s="20"/>
      <c r="G364" s="26"/>
      <c r="H364" s="8"/>
      <c r="I364" s="8"/>
      <c r="J364" s="29"/>
      <c r="K364" s="29"/>
      <c r="L364" s="29"/>
    </row>
    <row r="365" spans="1:12" ht="16.25" customHeight="1" x14ac:dyDescent="0.2">
      <c r="A365" s="10">
        <v>46201</v>
      </c>
      <c r="B365" s="56" t="s">
        <v>20</v>
      </c>
      <c r="C365" s="57"/>
      <c r="D365" s="74"/>
      <c r="E365" s="74"/>
      <c r="F365" s="20"/>
      <c r="G365" s="26"/>
      <c r="H365" s="8"/>
      <c r="I365" s="8"/>
      <c r="J365" s="29"/>
      <c r="K365" s="29"/>
      <c r="L365" s="29"/>
    </row>
    <row r="366" spans="1:12" ht="16.25" customHeight="1" x14ac:dyDescent="0.2">
      <c r="A366" s="10">
        <v>46202</v>
      </c>
      <c r="B366" s="56" t="s">
        <v>17</v>
      </c>
      <c r="C366" s="57"/>
      <c r="D366" s="74"/>
      <c r="E366" s="74"/>
      <c r="F366" s="20"/>
      <c r="G366" s="26"/>
      <c r="H366" s="8"/>
      <c r="I366" s="8"/>
      <c r="J366" s="29"/>
      <c r="K366" s="29"/>
      <c r="L366" s="29"/>
    </row>
    <row r="367" spans="1:12" ht="16.25" customHeight="1" x14ac:dyDescent="0.2">
      <c r="A367" s="7">
        <v>46203</v>
      </c>
      <c r="B367" s="58" t="s">
        <v>23</v>
      </c>
      <c r="C367" s="60" t="s">
        <v>129</v>
      </c>
      <c r="D367" s="76"/>
      <c r="E367" s="76"/>
      <c r="F367" s="21"/>
      <c r="G367" s="27"/>
      <c r="H367" s="5"/>
      <c r="I367" s="5"/>
      <c r="J367" s="29"/>
      <c r="K367" s="29"/>
      <c r="L367" s="29"/>
    </row>
    <row r="368" spans="1:12" ht="16.25" customHeight="1" x14ac:dyDescent="0.2">
      <c r="A368" s="7">
        <v>46204</v>
      </c>
      <c r="B368" s="58" t="s">
        <v>18</v>
      </c>
      <c r="C368" s="59" t="s">
        <v>19</v>
      </c>
      <c r="D368" s="75"/>
      <c r="E368" s="75"/>
      <c r="F368" s="21"/>
      <c r="G368" s="27"/>
      <c r="H368" s="5"/>
      <c r="I368" s="5"/>
      <c r="J368" s="29"/>
      <c r="K368" s="29"/>
      <c r="L368" s="29"/>
    </row>
    <row r="369" spans="1:12" ht="16.25" customHeight="1" x14ac:dyDescent="0.2">
      <c r="A369" s="7">
        <v>46205</v>
      </c>
      <c r="B369" s="58" t="s">
        <v>18</v>
      </c>
      <c r="C369" s="59" t="s">
        <v>19</v>
      </c>
      <c r="D369" s="75"/>
      <c r="E369" s="75"/>
      <c r="F369" s="21"/>
      <c r="G369" s="27"/>
      <c r="H369" s="5"/>
      <c r="I369" s="5"/>
      <c r="J369" s="29"/>
      <c r="K369" s="29"/>
      <c r="L369" s="29"/>
    </row>
    <row r="370" spans="1:12" ht="16.25" customHeight="1" x14ac:dyDescent="0.2">
      <c r="A370" s="7">
        <v>46206</v>
      </c>
      <c r="B370" s="58" t="s">
        <v>18</v>
      </c>
      <c r="C370" s="59" t="s">
        <v>19</v>
      </c>
      <c r="D370" s="75"/>
      <c r="E370" s="75"/>
      <c r="F370" s="21"/>
      <c r="G370" s="27"/>
      <c r="H370" s="5"/>
      <c r="I370" s="5"/>
      <c r="J370" s="29"/>
      <c r="K370" s="29"/>
      <c r="L370" s="29"/>
    </row>
    <row r="371" spans="1:12" ht="16.25" customHeight="1" x14ac:dyDescent="0.2">
      <c r="A371" s="10">
        <v>46207</v>
      </c>
      <c r="B371" s="56" t="s">
        <v>20</v>
      </c>
      <c r="C371" s="57"/>
      <c r="D371" s="74"/>
      <c r="E371" s="74"/>
      <c r="F371" s="20"/>
      <c r="G371" s="26"/>
      <c r="H371" s="8"/>
      <c r="I371" s="8"/>
      <c r="J371" s="29"/>
      <c r="K371" s="29"/>
      <c r="L371" s="29"/>
    </row>
    <row r="372" spans="1:12" ht="16.25" customHeight="1" x14ac:dyDescent="0.2">
      <c r="A372" s="10">
        <v>46208</v>
      </c>
      <c r="B372" s="56" t="s">
        <v>20</v>
      </c>
      <c r="C372" s="57"/>
      <c r="D372" s="74"/>
      <c r="E372" s="74"/>
      <c r="F372" s="20"/>
      <c r="G372" s="26"/>
      <c r="H372" s="8"/>
      <c r="I372" s="8"/>
      <c r="J372" s="29"/>
      <c r="K372" s="29"/>
      <c r="L372" s="29"/>
    </row>
    <row r="373" spans="1:12" ht="16.25" customHeight="1" x14ac:dyDescent="0.2">
      <c r="A373" s="7">
        <v>46209</v>
      </c>
      <c r="B373" s="58" t="s">
        <v>18</v>
      </c>
      <c r="C373" s="59" t="s">
        <v>19</v>
      </c>
      <c r="D373" s="75"/>
      <c r="E373" s="75"/>
      <c r="F373" s="21"/>
      <c r="G373" s="27"/>
      <c r="H373" s="5"/>
      <c r="I373" s="5"/>
      <c r="J373" s="29"/>
      <c r="K373" s="29"/>
      <c r="L373" s="29"/>
    </row>
    <row r="374" spans="1:12" ht="16.25" customHeight="1" x14ac:dyDescent="0.2">
      <c r="A374" s="7">
        <v>46210</v>
      </c>
      <c r="B374" s="58" t="s">
        <v>18</v>
      </c>
      <c r="C374" s="59" t="s">
        <v>19</v>
      </c>
      <c r="D374" s="75"/>
      <c r="E374" s="75"/>
      <c r="F374" s="21"/>
      <c r="G374" s="27"/>
      <c r="H374" s="5"/>
      <c r="I374" s="5"/>
      <c r="J374" s="29"/>
      <c r="K374" s="29"/>
      <c r="L374" s="29"/>
    </row>
    <row r="375" spans="1:12" ht="16.25" customHeight="1" x14ac:dyDescent="0.2">
      <c r="A375" s="7">
        <v>46211</v>
      </c>
      <c r="B375" s="58" t="s">
        <v>18</v>
      </c>
      <c r="C375" s="59" t="s">
        <v>19</v>
      </c>
      <c r="D375" s="75"/>
      <c r="E375" s="75"/>
      <c r="F375" s="21"/>
      <c r="G375" s="27"/>
      <c r="H375" s="5"/>
      <c r="I375" s="5"/>
      <c r="J375" s="29"/>
      <c r="K375" s="29"/>
      <c r="L375" s="29"/>
    </row>
    <row r="376" spans="1:12" ht="16.25" customHeight="1" x14ac:dyDescent="0.2">
      <c r="A376" s="7">
        <v>46212</v>
      </c>
      <c r="B376" s="58" t="s">
        <v>18</v>
      </c>
      <c r="C376" s="59" t="s">
        <v>19</v>
      </c>
      <c r="D376" s="75"/>
      <c r="E376" s="75"/>
      <c r="F376" s="21"/>
      <c r="G376" s="27"/>
      <c r="H376" s="5"/>
      <c r="I376" s="5"/>
      <c r="J376" s="29"/>
      <c r="K376" s="29"/>
      <c r="L376" s="29"/>
    </row>
    <row r="377" spans="1:12" ht="16.25" customHeight="1" x14ac:dyDescent="0.2">
      <c r="A377" s="7">
        <v>46213</v>
      </c>
      <c r="B377" s="58" t="s">
        <v>18</v>
      </c>
      <c r="C377" s="59" t="s">
        <v>19</v>
      </c>
      <c r="D377" s="75"/>
      <c r="E377" s="75"/>
      <c r="F377" s="21"/>
      <c r="G377" s="27"/>
      <c r="H377" s="5"/>
      <c r="I377" s="5"/>
      <c r="J377" s="29"/>
      <c r="K377" s="29"/>
      <c r="L377" s="29"/>
    </row>
    <row r="378" spans="1:12" ht="16.25" customHeight="1" x14ac:dyDescent="0.2">
      <c r="A378" s="10">
        <v>46214</v>
      </c>
      <c r="B378" s="56" t="s">
        <v>20</v>
      </c>
      <c r="C378" s="57"/>
      <c r="D378" s="74"/>
      <c r="E378" s="74"/>
      <c r="F378" s="20"/>
      <c r="G378" s="26"/>
      <c r="H378" s="8"/>
      <c r="I378" s="8"/>
      <c r="J378" s="29"/>
      <c r="K378" s="29"/>
      <c r="L378" s="29"/>
    </row>
    <row r="379" spans="1:12" ht="16.25" customHeight="1" x14ac:dyDescent="0.2">
      <c r="A379" s="10">
        <v>46215</v>
      </c>
      <c r="B379" s="56" t="s">
        <v>20</v>
      </c>
      <c r="C379" s="57"/>
      <c r="D379" s="74"/>
      <c r="E379" s="74"/>
      <c r="F379" s="20"/>
      <c r="G379" s="26"/>
      <c r="H379" s="8"/>
      <c r="I379" s="8"/>
      <c r="J379" s="29"/>
      <c r="K379" s="29"/>
      <c r="L379" s="29"/>
    </row>
    <row r="380" spans="1:12" ht="16.25" customHeight="1" x14ac:dyDescent="0.2">
      <c r="A380" s="7">
        <v>46216</v>
      </c>
      <c r="B380" s="58" t="s">
        <v>18</v>
      </c>
      <c r="C380" s="59" t="s">
        <v>19</v>
      </c>
      <c r="D380" s="75"/>
      <c r="E380" s="75"/>
      <c r="F380" s="21"/>
      <c r="G380" s="27"/>
      <c r="H380" s="5"/>
      <c r="I380" s="5"/>
      <c r="J380" s="29"/>
      <c r="K380" s="29"/>
      <c r="L380" s="29"/>
    </row>
    <row r="381" spans="1:12" ht="16.25" customHeight="1" x14ac:dyDescent="0.2">
      <c r="A381" s="7">
        <v>46217</v>
      </c>
      <c r="B381" s="58" t="s">
        <v>18</v>
      </c>
      <c r="C381" s="59" t="s">
        <v>19</v>
      </c>
      <c r="D381" s="75"/>
      <c r="E381" s="75"/>
      <c r="F381" s="21"/>
      <c r="G381" s="27"/>
      <c r="H381" s="5"/>
      <c r="I381" s="5"/>
      <c r="J381" s="29"/>
      <c r="K381" s="29"/>
      <c r="L381" s="29"/>
    </row>
    <row r="382" spans="1:12" ht="16.25" customHeight="1" x14ac:dyDescent="0.2">
      <c r="A382" s="7">
        <v>46218</v>
      </c>
      <c r="B382" s="58" t="s">
        <v>18</v>
      </c>
      <c r="C382" s="59" t="s">
        <v>19</v>
      </c>
      <c r="D382" s="75"/>
      <c r="E382" s="75"/>
      <c r="F382" s="21"/>
      <c r="G382" s="27"/>
      <c r="H382" s="5"/>
      <c r="I382" s="5"/>
      <c r="J382" s="29"/>
      <c r="K382" s="29"/>
      <c r="L382" s="29"/>
    </row>
    <row r="383" spans="1:12" ht="16.25" customHeight="1" x14ac:dyDescent="0.2">
      <c r="A383" s="7">
        <v>46219</v>
      </c>
      <c r="B383" s="58" t="s">
        <v>18</v>
      </c>
      <c r="C383" s="59" t="s">
        <v>19</v>
      </c>
      <c r="D383" s="75"/>
      <c r="E383" s="75"/>
      <c r="F383" s="21"/>
      <c r="G383" s="27"/>
      <c r="H383" s="5"/>
      <c r="I383" s="5"/>
      <c r="J383" s="29"/>
      <c r="K383" s="29"/>
      <c r="L383" s="29"/>
    </row>
    <row r="384" spans="1:12" ht="16.25" customHeight="1" x14ac:dyDescent="0.2">
      <c r="A384" s="7">
        <v>46220</v>
      </c>
      <c r="B384" s="58" t="s">
        <v>18</v>
      </c>
      <c r="C384" s="59" t="s">
        <v>19</v>
      </c>
      <c r="D384" s="75"/>
      <c r="E384" s="75"/>
      <c r="F384" s="21"/>
      <c r="G384" s="27"/>
      <c r="H384" s="5"/>
      <c r="I384" s="5"/>
      <c r="J384" s="29"/>
      <c r="K384" s="29"/>
      <c r="L384" s="29"/>
    </row>
    <row r="385" spans="1:12" ht="16.25" customHeight="1" x14ac:dyDescent="0.2">
      <c r="A385" s="10">
        <v>46221</v>
      </c>
      <c r="B385" s="56" t="s">
        <v>20</v>
      </c>
      <c r="C385" s="57"/>
      <c r="D385" s="74"/>
      <c r="E385" s="74"/>
      <c r="F385" s="20"/>
      <c r="G385" s="26"/>
      <c r="H385" s="8"/>
      <c r="I385" s="8"/>
      <c r="J385" s="29"/>
      <c r="K385" s="29"/>
      <c r="L385" s="29"/>
    </row>
    <row r="386" spans="1:12" ht="16.25" customHeight="1" x14ac:dyDescent="0.2">
      <c r="A386" s="10">
        <v>46222</v>
      </c>
      <c r="B386" s="56" t="s">
        <v>20</v>
      </c>
      <c r="C386" s="57"/>
      <c r="D386" s="74"/>
      <c r="E386" s="74"/>
      <c r="F386" s="20"/>
      <c r="G386" s="26"/>
      <c r="H386" s="8"/>
      <c r="I386" s="8"/>
      <c r="J386" s="29"/>
      <c r="K386" s="29"/>
      <c r="L386" s="29"/>
    </row>
    <row r="387" spans="1:12" ht="16.25" customHeight="1" x14ac:dyDescent="0.2">
      <c r="A387" s="10">
        <v>46223</v>
      </c>
      <c r="B387" s="56" t="s">
        <v>17</v>
      </c>
      <c r="C387" s="57"/>
      <c r="D387" s="74"/>
      <c r="E387" s="74"/>
      <c r="F387" s="20"/>
      <c r="G387" s="26"/>
      <c r="H387" s="8"/>
      <c r="I387" s="8"/>
      <c r="J387" s="29"/>
      <c r="K387" s="29"/>
      <c r="L387" s="29"/>
    </row>
    <row r="388" spans="1:12" ht="16.25" customHeight="1" x14ac:dyDescent="0.2">
      <c r="A388" s="7">
        <v>46224</v>
      </c>
      <c r="B388" s="58" t="s">
        <v>21</v>
      </c>
      <c r="C388" s="59" t="s">
        <v>22</v>
      </c>
      <c r="D388" s="75"/>
      <c r="E388" s="75"/>
      <c r="F388" s="21"/>
      <c r="G388" s="27"/>
      <c r="H388" s="5"/>
      <c r="I388" s="5"/>
      <c r="J388" s="29"/>
      <c r="K388" s="29"/>
      <c r="L388" s="29"/>
    </row>
    <row r="389" spans="1:12" ht="16.25" customHeight="1" x14ac:dyDescent="0.2">
      <c r="A389" s="7">
        <v>46225</v>
      </c>
      <c r="B389" s="58" t="s">
        <v>21</v>
      </c>
      <c r="C389" s="60"/>
      <c r="D389" s="76"/>
      <c r="E389" s="76"/>
      <c r="F389" s="21"/>
      <c r="G389" s="27"/>
      <c r="H389" s="5"/>
      <c r="I389" s="5"/>
      <c r="J389" s="29"/>
      <c r="K389" s="29"/>
      <c r="L389" s="29"/>
    </row>
    <row r="390" spans="1:12" ht="16.25" customHeight="1" x14ac:dyDescent="0.2">
      <c r="A390" s="7">
        <v>46226</v>
      </c>
      <c r="B390" s="58" t="s">
        <v>21</v>
      </c>
      <c r="C390" s="60"/>
      <c r="D390" s="76"/>
      <c r="E390" s="76"/>
      <c r="F390" s="21"/>
      <c r="G390" s="27"/>
      <c r="H390" s="5"/>
      <c r="I390" s="5"/>
      <c r="J390" s="29"/>
      <c r="K390" s="29"/>
      <c r="L390" s="29"/>
    </row>
    <row r="391" spans="1:12" ht="16.25" customHeight="1" x14ac:dyDescent="0.2">
      <c r="A391" s="7">
        <v>46227</v>
      </c>
      <c r="B391" s="58" t="s">
        <v>21</v>
      </c>
      <c r="C391" s="60"/>
      <c r="D391" s="76"/>
      <c r="E391" s="76"/>
      <c r="F391" s="21"/>
      <c r="G391" s="27"/>
      <c r="H391" s="5"/>
      <c r="I391" s="5"/>
      <c r="J391" s="29"/>
      <c r="K391" s="29"/>
      <c r="L391" s="29"/>
    </row>
    <row r="392" spans="1:12" ht="16.25" customHeight="1" x14ac:dyDescent="0.2">
      <c r="A392" s="10">
        <v>46228</v>
      </c>
      <c r="B392" s="56" t="s">
        <v>20</v>
      </c>
      <c r="C392" s="57"/>
      <c r="D392" s="74"/>
      <c r="E392" s="74"/>
      <c r="F392" s="20"/>
      <c r="G392" s="26"/>
      <c r="H392" s="8"/>
      <c r="I392" s="8"/>
      <c r="J392" s="29"/>
      <c r="K392" s="29"/>
      <c r="L392" s="29"/>
    </row>
    <row r="393" spans="1:12" ht="16.25" customHeight="1" x14ac:dyDescent="0.2">
      <c r="A393" s="10">
        <v>46229</v>
      </c>
      <c r="B393" s="56" t="s">
        <v>20</v>
      </c>
      <c r="C393" s="57"/>
      <c r="D393" s="74"/>
      <c r="E393" s="74"/>
      <c r="F393" s="20"/>
      <c r="G393" s="26"/>
      <c r="H393" s="8"/>
      <c r="I393" s="8"/>
      <c r="J393" s="29"/>
      <c r="K393" s="29"/>
      <c r="L393" s="29"/>
    </row>
    <row r="394" spans="1:12" ht="16.25" customHeight="1" x14ac:dyDescent="0.2">
      <c r="A394" s="7">
        <v>46230</v>
      </c>
      <c r="B394" s="58" t="s">
        <v>21</v>
      </c>
      <c r="C394" s="60" t="s">
        <v>24</v>
      </c>
      <c r="D394" s="76"/>
      <c r="E394" s="76"/>
      <c r="F394" s="21"/>
      <c r="G394" s="27"/>
      <c r="H394" s="5"/>
      <c r="I394" s="5"/>
      <c r="J394" s="29"/>
      <c r="K394" s="29"/>
      <c r="L394" s="29"/>
    </row>
    <row r="395" spans="1:12" ht="16.25" customHeight="1" x14ac:dyDescent="0.2">
      <c r="A395" s="7">
        <v>46231</v>
      </c>
      <c r="B395" s="58" t="s">
        <v>21</v>
      </c>
      <c r="C395" s="60"/>
      <c r="D395" s="76"/>
      <c r="E395" s="76"/>
      <c r="F395" s="21"/>
      <c r="G395" s="27"/>
      <c r="H395" s="5"/>
      <c r="I395" s="5"/>
      <c r="J395" s="29"/>
      <c r="K395" s="29"/>
      <c r="L395" s="29"/>
    </row>
    <row r="396" spans="1:12" ht="16.25" customHeight="1" x14ac:dyDescent="0.2">
      <c r="A396" s="7">
        <v>46232</v>
      </c>
      <c r="B396" s="58" t="s">
        <v>21</v>
      </c>
      <c r="C396" s="60" t="s">
        <v>25</v>
      </c>
      <c r="D396" s="76"/>
      <c r="E396" s="76"/>
      <c r="F396" s="21"/>
      <c r="G396" s="27"/>
      <c r="H396" s="5"/>
      <c r="I396" s="5"/>
      <c r="J396" s="29"/>
      <c r="K396" s="29"/>
      <c r="L396" s="29"/>
    </row>
    <row r="397" spans="1:12" ht="16.25" customHeight="1" x14ac:dyDescent="0.2">
      <c r="A397" s="7">
        <v>46233</v>
      </c>
      <c r="B397" s="58" t="s">
        <v>21</v>
      </c>
      <c r="C397" s="60"/>
      <c r="D397" s="76"/>
      <c r="E397" s="76"/>
      <c r="F397" s="21"/>
      <c r="G397" s="27"/>
      <c r="H397" s="5"/>
      <c r="I397" s="5"/>
      <c r="J397" s="29"/>
      <c r="K397" s="29"/>
      <c r="L397" s="29"/>
    </row>
    <row r="398" spans="1:12" ht="16.25" customHeight="1" x14ac:dyDescent="0.2">
      <c r="A398" s="7">
        <v>46234</v>
      </c>
      <c r="B398" s="58" t="s">
        <v>21</v>
      </c>
      <c r="C398" s="60"/>
      <c r="D398" s="76"/>
      <c r="E398" s="76"/>
      <c r="F398" s="21"/>
      <c r="G398" s="27"/>
      <c r="H398" s="5"/>
      <c r="I398" s="5"/>
      <c r="J398" s="29"/>
      <c r="K398" s="29"/>
      <c r="L398" s="29"/>
    </row>
    <row r="399" spans="1:12" ht="16.25" customHeight="1" x14ac:dyDescent="0.2">
      <c r="A399" s="10">
        <v>46235</v>
      </c>
      <c r="B399" s="56" t="s">
        <v>20</v>
      </c>
      <c r="C399" s="71"/>
      <c r="D399" s="81"/>
      <c r="E399" s="81"/>
      <c r="F399" s="35"/>
      <c r="G399" s="26"/>
      <c r="H399" s="8"/>
      <c r="I399" s="8"/>
      <c r="J399" s="36"/>
      <c r="K399" s="36"/>
      <c r="L399" s="36"/>
    </row>
    <row r="400" spans="1:12" ht="16.25" customHeight="1" x14ac:dyDescent="0.2">
      <c r="A400" s="10">
        <v>46236</v>
      </c>
      <c r="B400" s="56" t="s">
        <v>20</v>
      </c>
      <c r="C400" s="71"/>
      <c r="D400" s="81"/>
      <c r="E400" s="81"/>
      <c r="F400" s="35"/>
      <c r="G400" s="26"/>
      <c r="H400" s="8"/>
      <c r="I400" s="8"/>
      <c r="J400" s="36"/>
      <c r="K400" s="36"/>
      <c r="L400" s="36"/>
    </row>
    <row r="401" spans="1:12" ht="16.25" customHeight="1" x14ac:dyDescent="0.2">
      <c r="A401" s="7">
        <v>46237</v>
      </c>
      <c r="B401" s="58" t="s">
        <v>23</v>
      </c>
      <c r="C401" s="69"/>
      <c r="D401" s="82"/>
      <c r="E401" s="82"/>
      <c r="F401" s="31"/>
      <c r="G401" s="27"/>
      <c r="H401" s="5"/>
      <c r="I401" s="5"/>
      <c r="J401" s="29"/>
      <c r="K401" s="29"/>
      <c r="L401" s="29"/>
    </row>
    <row r="402" spans="1:12" ht="16.25" customHeight="1" x14ac:dyDescent="0.2">
      <c r="A402" s="7">
        <v>46238</v>
      </c>
      <c r="B402" s="58"/>
      <c r="C402" s="69"/>
      <c r="D402" s="82"/>
      <c r="E402" s="82"/>
      <c r="F402" s="31"/>
      <c r="G402" s="27"/>
      <c r="H402" s="5"/>
      <c r="I402" s="5"/>
      <c r="J402" s="29"/>
      <c r="K402" s="29"/>
      <c r="L402" s="29"/>
    </row>
    <row r="403" spans="1:12" ht="16.25" customHeight="1" x14ac:dyDescent="0.2">
      <c r="A403" s="7">
        <v>46239</v>
      </c>
      <c r="B403" s="58"/>
      <c r="C403" s="69"/>
      <c r="D403" s="82"/>
      <c r="E403" s="82"/>
      <c r="F403" s="31"/>
      <c r="G403" s="27"/>
      <c r="H403" s="5"/>
      <c r="I403" s="5"/>
      <c r="J403" s="29"/>
      <c r="K403" s="29"/>
      <c r="L403" s="29"/>
    </row>
    <row r="404" spans="1:12" ht="16.25" customHeight="1" x14ac:dyDescent="0.2">
      <c r="A404" s="7">
        <v>46240</v>
      </c>
      <c r="B404" s="58"/>
      <c r="C404" s="69"/>
      <c r="D404" s="82"/>
      <c r="E404" s="82"/>
      <c r="F404" s="31"/>
      <c r="G404" s="27"/>
      <c r="H404" s="5"/>
      <c r="I404" s="5"/>
      <c r="J404" s="29"/>
      <c r="K404" s="29"/>
      <c r="L404" s="29"/>
    </row>
    <row r="405" spans="1:12" ht="16.25" customHeight="1" x14ac:dyDescent="0.2">
      <c r="A405" s="10">
        <v>46241</v>
      </c>
      <c r="B405" s="56" t="s">
        <v>17</v>
      </c>
      <c r="C405" s="71"/>
      <c r="D405" s="81"/>
      <c r="E405" s="81"/>
      <c r="F405" s="35"/>
      <c r="G405" s="26"/>
      <c r="H405" s="8"/>
      <c r="I405" s="8"/>
      <c r="J405" s="36"/>
      <c r="K405" s="36"/>
      <c r="L405" s="36"/>
    </row>
    <row r="406" spans="1:12" ht="16.25" customHeight="1" x14ac:dyDescent="0.2">
      <c r="A406" s="10">
        <v>46242</v>
      </c>
      <c r="B406" s="56" t="s">
        <v>20</v>
      </c>
      <c r="C406" s="71"/>
      <c r="D406" s="81"/>
      <c r="E406" s="81"/>
      <c r="F406" s="35"/>
      <c r="G406" s="26"/>
      <c r="H406" s="8"/>
      <c r="I406" s="8"/>
      <c r="J406" s="36"/>
      <c r="K406" s="36"/>
      <c r="L406" s="36"/>
    </row>
    <row r="407" spans="1:12" ht="16.25" customHeight="1" x14ac:dyDescent="0.2">
      <c r="A407" s="10">
        <v>46243</v>
      </c>
      <c r="B407" s="56" t="s">
        <v>20</v>
      </c>
      <c r="C407" s="71"/>
      <c r="D407" s="81"/>
      <c r="E407" s="81"/>
      <c r="F407" s="35"/>
      <c r="G407" s="26"/>
      <c r="H407" s="8"/>
      <c r="I407" s="8"/>
      <c r="J407" s="36"/>
      <c r="K407" s="36"/>
      <c r="L407" s="36"/>
    </row>
    <row r="408" spans="1:12" ht="16.25" customHeight="1" x14ac:dyDescent="0.2">
      <c r="A408" s="7">
        <v>46244</v>
      </c>
      <c r="B408" s="58"/>
      <c r="C408" s="69"/>
      <c r="D408" s="82"/>
      <c r="E408" s="82"/>
      <c r="F408" s="31"/>
      <c r="G408" s="27"/>
      <c r="H408" s="5"/>
      <c r="I408" s="5"/>
      <c r="J408" s="29"/>
      <c r="K408" s="29"/>
      <c r="L408" s="29"/>
    </row>
  </sheetData>
  <sheetProtection sheet="1" objects="1" scenarios="1" sort="0" autoFilter="0"/>
  <conditionalFormatting sqref="A2:A408">
    <cfRule type="expression" dxfId="3" priority="1">
      <formula>WEEKDAY(A2,2)&gt;5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3E11-848E-436A-A9AC-894D5E74867E}">
  <dimension ref="A1:P408"/>
  <sheetViews>
    <sheetView zoomScale="99" zoomScaleNormal="100" workbookViewId="0">
      <pane xSplit="1" ySplit="1" topLeftCell="B308" activePane="bottomRight" state="frozen"/>
      <selection pane="topRight" activeCell="B1" sqref="B1"/>
      <selection pane="bottomLeft" activeCell="A2" sqref="A2"/>
      <selection pane="bottomRight" activeCell="C337" sqref="C337"/>
    </sheetView>
  </sheetViews>
  <sheetFormatPr baseColWidth="10" defaultColWidth="8.5" defaultRowHeight="16.25" customHeight="1" x14ac:dyDescent="0.2"/>
  <cols>
    <col min="1" max="1" width="31.5" style="4" customWidth="1"/>
    <col min="2" max="2" width="8.5" style="2" customWidth="1"/>
    <col min="3" max="3" width="18.33203125" style="72" customWidth="1"/>
    <col min="4" max="4" width="22" style="3" customWidth="1"/>
    <col min="5" max="5" width="21" style="3" customWidth="1"/>
    <col min="6" max="6" width="11" style="72" customWidth="1"/>
    <col min="7" max="7" width="13" style="2" customWidth="1"/>
    <col min="8" max="9" width="7.5" style="2" hidden="1" customWidth="1"/>
    <col min="10" max="10" width="17.5" style="2" hidden="1" customWidth="1"/>
    <col min="11" max="11" width="3" hidden="1" customWidth="1"/>
    <col min="12" max="12" width="0.5" customWidth="1"/>
    <col min="13" max="16" width="20.83203125" customWidth="1"/>
    <col min="17" max="28" width="20.83203125" style="1" customWidth="1"/>
    <col min="29" max="16384" width="8.5" style="1"/>
  </cols>
  <sheetData>
    <row r="1" spans="1:16" s="11" customFormat="1" ht="36.5" customHeight="1" x14ac:dyDescent="0.3">
      <c r="A1" s="106" t="s">
        <v>0</v>
      </c>
      <c r="B1" s="107" t="s">
        <v>1</v>
      </c>
      <c r="C1" s="108" t="s">
        <v>131</v>
      </c>
      <c r="D1" s="109" t="s">
        <v>217</v>
      </c>
      <c r="E1" s="109" t="s">
        <v>218</v>
      </c>
      <c r="F1" s="12" t="s">
        <v>219</v>
      </c>
      <c r="G1" s="12" t="s">
        <v>220</v>
      </c>
      <c r="H1" s="12" t="s">
        <v>12</v>
      </c>
      <c r="I1" s="12" t="s">
        <v>13</v>
      </c>
      <c r="J1" s="30" t="s">
        <v>14</v>
      </c>
      <c r="K1" s="30" t="s">
        <v>15</v>
      </c>
      <c r="L1" s="30" t="s">
        <v>16</v>
      </c>
    </row>
    <row r="2" spans="1:16" ht="16.25" customHeight="1" x14ac:dyDescent="0.2">
      <c r="A2" s="10">
        <v>45838</v>
      </c>
      <c r="B2" s="56" t="s">
        <v>17</v>
      </c>
      <c r="C2" s="57"/>
      <c r="D2" s="74"/>
      <c r="E2" s="74"/>
      <c r="F2" s="20"/>
      <c r="G2" s="26"/>
      <c r="H2" s="8"/>
      <c r="I2" s="8"/>
      <c r="J2" s="29"/>
      <c r="K2" s="29"/>
      <c r="L2" s="29"/>
      <c r="P2" s="1"/>
    </row>
    <row r="3" spans="1:16" ht="16.25" customHeight="1" x14ac:dyDescent="0.2">
      <c r="A3" s="7">
        <v>45839</v>
      </c>
      <c r="B3" s="58" t="s">
        <v>18</v>
      </c>
      <c r="C3" s="59" t="s">
        <v>19</v>
      </c>
      <c r="D3" s="75"/>
      <c r="E3" s="75"/>
      <c r="F3" s="21"/>
      <c r="G3" s="27"/>
      <c r="H3" s="5"/>
      <c r="I3" s="5"/>
      <c r="J3" s="29"/>
      <c r="K3" s="29"/>
      <c r="L3" s="29"/>
      <c r="P3" s="1"/>
    </row>
    <row r="4" spans="1:16" ht="16.25" customHeight="1" x14ac:dyDescent="0.2">
      <c r="A4" s="7">
        <v>45840</v>
      </c>
      <c r="B4" s="58" t="s">
        <v>18</v>
      </c>
      <c r="C4" s="59" t="s">
        <v>19</v>
      </c>
      <c r="D4" s="75"/>
      <c r="E4" s="75"/>
      <c r="F4" s="21"/>
      <c r="G4" s="27"/>
      <c r="H4" s="5"/>
      <c r="I4" s="5"/>
      <c r="J4" s="29"/>
      <c r="K4" s="29"/>
      <c r="L4" s="29"/>
      <c r="P4" s="1"/>
    </row>
    <row r="5" spans="1:16" ht="16.25" customHeight="1" x14ac:dyDescent="0.2">
      <c r="A5" s="7">
        <v>45841</v>
      </c>
      <c r="B5" s="58" t="s">
        <v>18</v>
      </c>
      <c r="C5" s="59" t="s">
        <v>19</v>
      </c>
      <c r="D5" s="75"/>
      <c r="E5" s="75"/>
      <c r="F5" s="21"/>
      <c r="G5" s="27"/>
      <c r="H5" s="5"/>
      <c r="I5" s="5"/>
      <c r="J5" s="29"/>
      <c r="K5" s="29"/>
      <c r="L5" s="29"/>
      <c r="P5" s="1"/>
    </row>
    <row r="6" spans="1:16" ht="16.25" customHeight="1" x14ac:dyDescent="0.2">
      <c r="A6" s="7">
        <v>45842</v>
      </c>
      <c r="B6" s="58" t="s">
        <v>18</v>
      </c>
      <c r="C6" s="59" t="s">
        <v>19</v>
      </c>
      <c r="D6" s="75"/>
      <c r="E6" s="75"/>
      <c r="F6" s="21"/>
      <c r="G6" s="27"/>
      <c r="H6" s="5"/>
      <c r="I6" s="5"/>
      <c r="J6" s="29"/>
      <c r="K6" s="29"/>
      <c r="L6" s="29"/>
      <c r="P6" s="1"/>
    </row>
    <row r="7" spans="1:16" ht="16.25" customHeight="1" x14ac:dyDescent="0.2">
      <c r="A7" s="10">
        <v>45843</v>
      </c>
      <c r="B7" s="56" t="s">
        <v>20</v>
      </c>
      <c r="C7" s="57"/>
      <c r="D7" s="74"/>
      <c r="E7" s="74"/>
      <c r="F7" s="20"/>
      <c r="G7" s="26"/>
      <c r="H7" s="8"/>
      <c r="I7" s="8"/>
      <c r="J7" s="29"/>
      <c r="K7" s="29"/>
      <c r="L7" s="29"/>
      <c r="P7" s="1"/>
    </row>
    <row r="8" spans="1:16" ht="16.25" customHeight="1" x14ac:dyDescent="0.2">
      <c r="A8" s="10">
        <v>45844</v>
      </c>
      <c r="B8" s="56" t="s">
        <v>20</v>
      </c>
      <c r="C8" s="57"/>
      <c r="D8" s="74"/>
      <c r="E8" s="74"/>
      <c r="F8" s="20"/>
      <c r="G8" s="26"/>
      <c r="H8" s="8"/>
      <c r="I8" s="8"/>
      <c r="J8" s="29"/>
      <c r="K8" s="29"/>
      <c r="L8" s="29"/>
      <c r="P8" s="1"/>
    </row>
    <row r="9" spans="1:16" ht="16.25" customHeight="1" x14ac:dyDescent="0.2">
      <c r="A9" s="7">
        <v>45845</v>
      </c>
      <c r="B9" s="58" t="s">
        <v>18</v>
      </c>
      <c r="C9" s="59" t="s">
        <v>19</v>
      </c>
      <c r="D9" s="75"/>
      <c r="E9" s="75"/>
      <c r="F9" s="21"/>
      <c r="G9" s="27"/>
      <c r="H9" s="5"/>
      <c r="I9" s="5"/>
      <c r="J9" s="29"/>
      <c r="K9" s="29"/>
      <c r="L9" s="29"/>
      <c r="P9" s="1"/>
    </row>
    <row r="10" spans="1:16" ht="16.25" customHeight="1" x14ac:dyDescent="0.2">
      <c r="A10" s="7">
        <v>45846</v>
      </c>
      <c r="B10" s="58" t="s">
        <v>18</v>
      </c>
      <c r="C10" s="59" t="s">
        <v>19</v>
      </c>
      <c r="D10" s="75"/>
      <c r="E10" s="75"/>
      <c r="F10" s="21"/>
      <c r="G10" s="27"/>
      <c r="H10" s="5"/>
      <c r="I10" s="5"/>
      <c r="J10" s="29"/>
      <c r="K10" s="29"/>
      <c r="L10" s="29"/>
      <c r="P10" s="1"/>
    </row>
    <row r="11" spans="1:16" ht="16.25" customHeight="1" x14ac:dyDescent="0.2">
      <c r="A11" s="7">
        <v>45847</v>
      </c>
      <c r="B11" s="58" t="s">
        <v>18</v>
      </c>
      <c r="C11" s="59" t="s">
        <v>19</v>
      </c>
      <c r="D11" s="75"/>
      <c r="E11" s="75"/>
      <c r="F11" s="21"/>
      <c r="G11" s="27"/>
      <c r="H11" s="5"/>
      <c r="I11" s="5"/>
      <c r="J11" s="29"/>
      <c r="K11" s="29"/>
      <c r="L11" s="29"/>
      <c r="P11" s="1"/>
    </row>
    <row r="12" spans="1:16" ht="16.25" customHeight="1" x14ac:dyDescent="0.2">
      <c r="A12" s="7">
        <v>45848</v>
      </c>
      <c r="B12" s="58" t="s">
        <v>18</v>
      </c>
      <c r="C12" s="59" t="s">
        <v>19</v>
      </c>
      <c r="D12" s="75"/>
      <c r="E12" s="75"/>
      <c r="F12" s="21"/>
      <c r="G12" s="27"/>
      <c r="H12" s="5"/>
      <c r="I12" s="5"/>
      <c r="J12" s="29"/>
      <c r="K12" s="29"/>
      <c r="L12" s="29"/>
      <c r="P12" s="1"/>
    </row>
    <row r="13" spans="1:16" ht="16.25" customHeight="1" x14ac:dyDescent="0.2">
      <c r="A13" s="7">
        <v>45849</v>
      </c>
      <c r="B13" s="58" t="s">
        <v>18</v>
      </c>
      <c r="C13" s="59" t="s">
        <v>19</v>
      </c>
      <c r="D13" s="75"/>
      <c r="E13" s="75"/>
      <c r="F13" s="21"/>
      <c r="G13" s="27"/>
      <c r="H13" s="5"/>
      <c r="I13" s="5"/>
      <c r="J13" s="29"/>
      <c r="K13" s="29"/>
      <c r="L13" s="29"/>
      <c r="P13" s="1"/>
    </row>
    <row r="14" spans="1:16" ht="16.25" customHeight="1" x14ac:dyDescent="0.2">
      <c r="A14" s="10">
        <v>45850</v>
      </c>
      <c r="B14" s="56" t="s">
        <v>20</v>
      </c>
      <c r="C14" s="57"/>
      <c r="D14" s="74"/>
      <c r="E14" s="74"/>
      <c r="F14" s="20"/>
      <c r="G14" s="26"/>
      <c r="H14" s="8"/>
      <c r="I14" s="8"/>
      <c r="J14" s="29"/>
      <c r="K14" s="29"/>
      <c r="L14" s="29"/>
      <c r="P14" s="1"/>
    </row>
    <row r="15" spans="1:16" ht="16.25" customHeight="1" x14ac:dyDescent="0.2">
      <c r="A15" s="10">
        <v>45851</v>
      </c>
      <c r="B15" s="56" t="s">
        <v>20</v>
      </c>
      <c r="C15" s="57"/>
      <c r="D15" s="74"/>
      <c r="E15" s="74"/>
      <c r="F15" s="20"/>
      <c r="G15" s="26"/>
      <c r="H15" s="8"/>
      <c r="I15" s="8"/>
      <c r="J15" s="29"/>
      <c r="K15" s="29"/>
      <c r="L15" s="29"/>
      <c r="P15" s="1"/>
    </row>
    <row r="16" spans="1:16" ht="16.25" customHeight="1" x14ac:dyDescent="0.2">
      <c r="A16" s="7">
        <v>45852</v>
      </c>
      <c r="B16" s="58" t="s">
        <v>18</v>
      </c>
      <c r="C16" s="59" t="s">
        <v>19</v>
      </c>
      <c r="D16" s="75"/>
      <c r="E16" s="75"/>
      <c r="F16" s="21"/>
      <c r="G16" s="27"/>
      <c r="H16" s="5"/>
      <c r="I16" s="5"/>
      <c r="J16" s="29"/>
      <c r="K16" s="29"/>
      <c r="L16" s="29"/>
      <c r="P16" s="1"/>
    </row>
    <row r="17" spans="1:16" ht="16.25" customHeight="1" x14ac:dyDescent="0.2">
      <c r="A17" s="7">
        <v>45853</v>
      </c>
      <c r="B17" s="58" t="s">
        <v>18</v>
      </c>
      <c r="C17" s="59" t="s">
        <v>19</v>
      </c>
      <c r="D17" s="75"/>
      <c r="E17" s="75"/>
      <c r="F17" s="21"/>
      <c r="G17" s="27"/>
      <c r="H17" s="5"/>
      <c r="I17" s="5"/>
      <c r="J17" s="29"/>
      <c r="K17" s="29"/>
      <c r="L17" s="29"/>
      <c r="P17" s="1"/>
    </row>
    <row r="18" spans="1:16" ht="16.25" customHeight="1" x14ac:dyDescent="0.2">
      <c r="A18" s="7">
        <v>45854</v>
      </c>
      <c r="B18" s="58" t="s">
        <v>18</v>
      </c>
      <c r="C18" s="59" t="s">
        <v>19</v>
      </c>
      <c r="D18" s="75"/>
      <c r="E18" s="75"/>
      <c r="F18" s="21"/>
      <c r="G18" s="27"/>
      <c r="H18" s="5"/>
      <c r="I18" s="5"/>
      <c r="J18" s="29"/>
      <c r="K18" s="29"/>
      <c r="L18" s="29"/>
      <c r="P18" s="1"/>
    </row>
    <row r="19" spans="1:16" ht="16.25" customHeight="1" x14ac:dyDescent="0.2">
      <c r="A19" s="7">
        <v>45855</v>
      </c>
      <c r="B19" s="58" t="s">
        <v>18</v>
      </c>
      <c r="C19" s="59" t="s">
        <v>19</v>
      </c>
      <c r="D19" s="75"/>
      <c r="E19" s="75"/>
      <c r="F19" s="21"/>
      <c r="G19" s="27"/>
      <c r="H19" s="5"/>
      <c r="I19" s="5"/>
      <c r="J19" s="29"/>
      <c r="K19" s="29"/>
      <c r="L19" s="29"/>
      <c r="P19" s="1"/>
    </row>
    <row r="20" spans="1:16" ht="16.25" customHeight="1" x14ac:dyDescent="0.2">
      <c r="A20" s="7">
        <v>45856</v>
      </c>
      <c r="B20" s="58" t="s">
        <v>18</v>
      </c>
      <c r="C20" s="59" t="s">
        <v>19</v>
      </c>
      <c r="D20" s="75"/>
      <c r="E20" s="75"/>
      <c r="F20" s="21"/>
      <c r="G20" s="27"/>
      <c r="H20" s="5"/>
      <c r="I20" s="5"/>
      <c r="J20" s="29"/>
      <c r="K20" s="29"/>
      <c r="L20" s="29"/>
      <c r="P20" s="1"/>
    </row>
    <row r="21" spans="1:16" ht="16.25" customHeight="1" x14ac:dyDescent="0.2">
      <c r="A21" s="10">
        <v>45857</v>
      </c>
      <c r="B21" s="56" t="s">
        <v>20</v>
      </c>
      <c r="C21" s="57"/>
      <c r="D21" s="74"/>
      <c r="E21" s="74"/>
      <c r="F21" s="20"/>
      <c r="G21" s="26"/>
      <c r="H21" s="8"/>
      <c r="I21" s="8"/>
      <c r="J21" s="29"/>
      <c r="K21" s="29"/>
      <c r="L21" s="29"/>
      <c r="P21" s="1"/>
    </row>
    <row r="22" spans="1:16" ht="16.25" customHeight="1" x14ac:dyDescent="0.2">
      <c r="A22" s="10">
        <v>45858</v>
      </c>
      <c r="B22" s="56" t="s">
        <v>17</v>
      </c>
      <c r="C22" s="57"/>
      <c r="D22" s="74"/>
      <c r="E22" s="74"/>
      <c r="F22" s="20"/>
      <c r="G22" s="26"/>
      <c r="H22" s="8"/>
      <c r="I22" s="8"/>
      <c r="J22" s="29"/>
      <c r="K22" s="29"/>
      <c r="L22" s="29"/>
      <c r="P22" s="1"/>
    </row>
    <row r="23" spans="1:16" ht="16.25" customHeight="1" x14ac:dyDescent="0.2">
      <c r="A23" s="7">
        <v>45859</v>
      </c>
      <c r="B23" s="58" t="s">
        <v>21</v>
      </c>
      <c r="C23" s="60" t="s">
        <v>22</v>
      </c>
      <c r="D23" s="76"/>
      <c r="E23" s="76"/>
      <c r="F23" s="21"/>
      <c r="G23" s="27"/>
      <c r="H23" s="5"/>
      <c r="I23" s="5"/>
      <c r="J23" s="29"/>
      <c r="K23" s="29"/>
      <c r="L23" s="29"/>
      <c r="P23" s="1"/>
    </row>
    <row r="24" spans="1:16" ht="16.25" customHeight="1" x14ac:dyDescent="0.2">
      <c r="A24" s="7">
        <v>45860</v>
      </c>
      <c r="B24" s="58" t="s">
        <v>21</v>
      </c>
      <c r="C24" s="60"/>
      <c r="D24" s="76"/>
      <c r="E24" s="76"/>
      <c r="F24" s="21"/>
      <c r="G24" s="27"/>
      <c r="H24" s="5"/>
      <c r="I24" s="5"/>
      <c r="J24" s="29"/>
      <c r="K24" s="29"/>
      <c r="L24" s="29"/>
      <c r="P24" s="1"/>
    </row>
    <row r="25" spans="1:16" ht="16.25" customHeight="1" x14ac:dyDescent="0.2">
      <c r="A25" s="7">
        <v>45861</v>
      </c>
      <c r="B25" s="58" t="s">
        <v>21</v>
      </c>
      <c r="C25" s="60"/>
      <c r="D25" s="76"/>
      <c r="E25" s="76"/>
      <c r="F25" s="21"/>
      <c r="G25" s="27"/>
      <c r="H25" s="5"/>
      <c r="I25" s="5"/>
      <c r="J25" s="29"/>
      <c r="K25" s="29"/>
      <c r="L25" s="29"/>
      <c r="P25" s="1"/>
    </row>
    <row r="26" spans="1:16" ht="16.25" customHeight="1" x14ac:dyDescent="0.2">
      <c r="A26" s="7">
        <v>45862</v>
      </c>
      <c r="B26" s="58" t="s">
        <v>21</v>
      </c>
      <c r="C26" s="60"/>
      <c r="D26" s="76"/>
      <c r="E26" s="76"/>
      <c r="F26" s="21"/>
      <c r="G26" s="27"/>
      <c r="H26" s="5"/>
      <c r="I26" s="5"/>
      <c r="J26" s="29"/>
      <c r="K26" s="29"/>
      <c r="L26" s="29"/>
      <c r="P26" s="1"/>
    </row>
    <row r="27" spans="1:16" ht="16.25" customHeight="1" x14ac:dyDescent="0.2">
      <c r="A27" s="7">
        <v>45863</v>
      </c>
      <c r="B27" s="58" t="s">
        <v>21</v>
      </c>
      <c r="C27" s="60"/>
      <c r="D27" s="76"/>
      <c r="E27" s="76"/>
      <c r="F27" s="21"/>
      <c r="G27" s="27"/>
      <c r="H27" s="5"/>
      <c r="I27" s="5"/>
      <c r="J27" s="29"/>
      <c r="K27" s="29"/>
      <c r="L27" s="29"/>
      <c r="P27" s="1"/>
    </row>
    <row r="28" spans="1:16" ht="16.25" customHeight="1" x14ac:dyDescent="0.2">
      <c r="A28" s="10">
        <v>45864</v>
      </c>
      <c r="B28" s="56" t="s">
        <v>20</v>
      </c>
      <c r="C28" s="57"/>
      <c r="D28" s="74"/>
      <c r="E28" s="74"/>
      <c r="F28" s="20"/>
      <c r="G28" s="26"/>
      <c r="H28" s="8"/>
      <c r="I28" s="8"/>
      <c r="J28" s="29"/>
      <c r="K28" s="29"/>
      <c r="L28" s="29"/>
      <c r="P28" s="1"/>
    </row>
    <row r="29" spans="1:16" ht="16.25" customHeight="1" x14ac:dyDescent="0.2">
      <c r="A29" s="10">
        <v>45865</v>
      </c>
      <c r="B29" s="56" t="s">
        <v>20</v>
      </c>
      <c r="C29" s="57"/>
      <c r="D29" s="74"/>
      <c r="E29" s="74"/>
      <c r="F29" s="20"/>
      <c r="G29" s="26"/>
      <c r="H29" s="8"/>
      <c r="I29" s="8"/>
      <c r="J29" s="29"/>
      <c r="K29" s="29"/>
      <c r="L29" s="29"/>
      <c r="P29" s="1"/>
    </row>
    <row r="30" spans="1:16" ht="16.25" customHeight="1" x14ac:dyDescent="0.2">
      <c r="A30" s="7">
        <v>45866</v>
      </c>
      <c r="B30" s="58" t="s">
        <v>23</v>
      </c>
      <c r="C30" s="60" t="s">
        <v>24</v>
      </c>
      <c r="D30" s="76"/>
      <c r="E30" s="76"/>
      <c r="F30" s="21"/>
      <c r="G30" s="27"/>
      <c r="H30" s="5"/>
      <c r="I30" s="5"/>
      <c r="J30" s="29"/>
      <c r="K30" s="29"/>
      <c r="L30" s="29"/>
      <c r="P30" s="1"/>
    </row>
    <row r="31" spans="1:16" ht="16.25" customHeight="1" x14ac:dyDescent="0.2">
      <c r="A31" s="7">
        <v>45867</v>
      </c>
      <c r="B31" s="58" t="s">
        <v>23</v>
      </c>
      <c r="C31" s="59"/>
      <c r="D31" s="75"/>
      <c r="E31" s="75"/>
      <c r="F31" s="21"/>
      <c r="G31" s="27"/>
      <c r="H31" s="5"/>
      <c r="I31" s="5"/>
      <c r="J31" s="29"/>
      <c r="K31" s="29"/>
      <c r="L31" s="29"/>
      <c r="P31" s="1"/>
    </row>
    <row r="32" spans="1:16" ht="16.25" customHeight="1" x14ac:dyDescent="0.2">
      <c r="A32" s="7">
        <v>45868</v>
      </c>
      <c r="B32" s="58" t="s">
        <v>23</v>
      </c>
      <c r="C32" s="60" t="s">
        <v>25</v>
      </c>
      <c r="D32" s="76"/>
      <c r="E32" s="76"/>
      <c r="F32" s="21"/>
      <c r="G32" s="27"/>
      <c r="H32" s="5"/>
      <c r="I32" s="5"/>
      <c r="J32" s="29"/>
      <c r="K32" s="29"/>
      <c r="L32" s="29"/>
    </row>
    <row r="33" spans="1:12" ht="16.25" customHeight="1" x14ac:dyDescent="0.2">
      <c r="A33" s="7">
        <v>45869</v>
      </c>
      <c r="B33" s="58" t="s">
        <v>23</v>
      </c>
      <c r="C33" s="59"/>
      <c r="D33" s="75"/>
      <c r="E33" s="75"/>
      <c r="F33" s="21"/>
      <c r="G33" s="27"/>
      <c r="H33" s="5"/>
      <c r="I33" s="5"/>
      <c r="J33" s="29" t="s">
        <v>22</v>
      </c>
      <c r="K33" s="29" t="s">
        <v>26</v>
      </c>
      <c r="L33" s="29"/>
    </row>
    <row r="34" spans="1:12" ht="16.25" customHeight="1" x14ac:dyDescent="0.2">
      <c r="A34" s="7">
        <v>45870</v>
      </c>
      <c r="B34" s="58" t="s">
        <v>23</v>
      </c>
      <c r="C34" s="60" t="s">
        <v>27</v>
      </c>
      <c r="D34" s="76"/>
      <c r="E34" s="76"/>
      <c r="F34" s="21"/>
      <c r="G34" s="27"/>
      <c r="H34" s="5"/>
      <c r="I34" s="5"/>
      <c r="J34" s="29" t="s">
        <v>28</v>
      </c>
      <c r="K34" s="29"/>
      <c r="L34" s="29"/>
    </row>
    <row r="35" spans="1:12" ht="16.25" customHeight="1" x14ac:dyDescent="0.2">
      <c r="A35" s="10">
        <v>45871</v>
      </c>
      <c r="B35" s="56" t="s">
        <v>20</v>
      </c>
      <c r="C35" s="57"/>
      <c r="D35" s="74"/>
      <c r="E35" s="74"/>
      <c r="F35" s="20"/>
      <c r="G35" s="26"/>
      <c r="H35" s="8"/>
      <c r="I35" s="8"/>
      <c r="J35" s="29"/>
      <c r="K35" s="29"/>
      <c r="L35" s="29"/>
    </row>
    <row r="36" spans="1:12" ht="16.25" customHeight="1" x14ac:dyDescent="0.2">
      <c r="A36" s="10">
        <v>45872</v>
      </c>
      <c r="B36" s="56" t="s">
        <v>29</v>
      </c>
      <c r="C36" s="57"/>
      <c r="D36" s="74"/>
      <c r="E36" s="74"/>
      <c r="F36" s="20"/>
      <c r="G36" s="26"/>
      <c r="H36" s="8"/>
      <c r="I36" s="8"/>
      <c r="J36" s="29"/>
      <c r="K36" s="29"/>
      <c r="L36" s="29"/>
    </row>
    <row r="37" spans="1:12" ht="16.25" customHeight="1" x14ac:dyDescent="0.2">
      <c r="A37" s="7">
        <v>45873</v>
      </c>
      <c r="B37" s="58" t="s">
        <v>23</v>
      </c>
      <c r="C37" s="60" t="s">
        <v>30</v>
      </c>
      <c r="D37" s="76"/>
      <c r="E37" s="76"/>
      <c r="F37" s="21"/>
      <c r="G37" s="27"/>
      <c r="H37" s="5"/>
      <c r="I37" s="5"/>
      <c r="J37" s="29" t="s">
        <v>31</v>
      </c>
      <c r="K37" s="29" t="s">
        <v>32</v>
      </c>
      <c r="L37" s="29"/>
    </row>
    <row r="38" spans="1:12" ht="16.25" customHeight="1" x14ac:dyDescent="0.2">
      <c r="A38" s="7">
        <v>45874</v>
      </c>
      <c r="B38" s="58" t="s">
        <v>23</v>
      </c>
      <c r="C38" s="60" t="s">
        <v>33</v>
      </c>
      <c r="D38" s="76"/>
      <c r="E38" s="76"/>
      <c r="F38" s="21"/>
      <c r="G38" s="27"/>
      <c r="H38" s="5"/>
      <c r="I38" s="5"/>
      <c r="J38" s="29" t="s">
        <v>34</v>
      </c>
      <c r="K38" s="29"/>
      <c r="L38" s="29"/>
    </row>
    <row r="39" spans="1:12" ht="16.25" customHeight="1" x14ac:dyDescent="0.2">
      <c r="A39" s="7">
        <v>45875</v>
      </c>
      <c r="B39" s="58" t="s">
        <v>23</v>
      </c>
      <c r="C39" s="60" t="s">
        <v>33</v>
      </c>
      <c r="D39" s="76"/>
      <c r="E39" s="76"/>
      <c r="F39" s="21"/>
      <c r="G39" s="27"/>
      <c r="H39" s="5"/>
      <c r="I39" s="5"/>
      <c r="J39" s="29"/>
      <c r="K39" s="29"/>
      <c r="L39" s="29"/>
    </row>
    <row r="40" spans="1:12" ht="16.25" customHeight="1" x14ac:dyDescent="0.2">
      <c r="A40" s="10">
        <v>45876</v>
      </c>
      <c r="B40" s="56" t="s">
        <v>17</v>
      </c>
      <c r="C40" s="57"/>
      <c r="D40" s="74"/>
      <c r="E40" s="74"/>
      <c r="F40" s="20"/>
      <c r="G40" s="26"/>
      <c r="H40" s="8"/>
      <c r="I40" s="8"/>
      <c r="J40" s="29"/>
      <c r="K40" s="29"/>
      <c r="L40" s="29"/>
    </row>
    <row r="41" spans="1:12" ht="16.25" customHeight="1" x14ac:dyDescent="0.2">
      <c r="A41" s="7">
        <v>45877</v>
      </c>
      <c r="B41" s="58" t="s">
        <v>23</v>
      </c>
      <c r="C41" s="60" t="s">
        <v>33</v>
      </c>
      <c r="D41" s="76"/>
      <c r="E41" s="76"/>
      <c r="F41" s="21"/>
      <c r="G41" s="27"/>
      <c r="H41" s="5"/>
      <c r="I41" s="5"/>
      <c r="J41" s="29"/>
      <c r="K41" s="29"/>
      <c r="L41" s="29"/>
    </row>
    <row r="42" spans="1:12" ht="16.25" customHeight="1" x14ac:dyDescent="0.2">
      <c r="A42" s="10">
        <v>45878</v>
      </c>
      <c r="B42" s="56" t="s">
        <v>20</v>
      </c>
      <c r="C42" s="57"/>
      <c r="D42" s="74"/>
      <c r="E42" s="74"/>
      <c r="F42" s="20"/>
      <c r="G42" s="26"/>
      <c r="H42" s="8"/>
      <c r="I42" s="8"/>
      <c r="J42" s="29"/>
      <c r="K42" s="29"/>
      <c r="L42" s="29"/>
    </row>
    <row r="43" spans="1:12" ht="16.25" customHeight="1" x14ac:dyDescent="0.2">
      <c r="A43" s="10">
        <v>45879</v>
      </c>
      <c r="B43" s="56" t="s">
        <v>20</v>
      </c>
      <c r="C43" s="57"/>
      <c r="D43" s="74"/>
      <c r="E43" s="74"/>
      <c r="F43" s="20"/>
      <c r="G43" s="26"/>
      <c r="H43" s="8"/>
      <c r="I43" s="8"/>
      <c r="J43" s="29"/>
      <c r="K43" s="29"/>
      <c r="L43" s="29"/>
    </row>
    <row r="44" spans="1:12" ht="16.25" customHeight="1" x14ac:dyDescent="0.2">
      <c r="A44" s="7">
        <v>45880</v>
      </c>
      <c r="B44" s="58" t="s">
        <v>23</v>
      </c>
      <c r="C44" s="60" t="s">
        <v>36</v>
      </c>
      <c r="D44" s="76"/>
      <c r="E44" s="76"/>
      <c r="F44" s="21"/>
      <c r="G44" s="27">
        <v>1</v>
      </c>
      <c r="H44" s="5"/>
      <c r="I44" s="5"/>
      <c r="J44" s="29"/>
      <c r="K44" s="29" t="s">
        <v>34</v>
      </c>
      <c r="L44" s="29" t="s">
        <v>37</v>
      </c>
    </row>
    <row r="45" spans="1:12" ht="16.25" customHeight="1" x14ac:dyDescent="0.2">
      <c r="A45" s="7">
        <v>45881</v>
      </c>
      <c r="B45" s="58" t="s">
        <v>23</v>
      </c>
      <c r="C45" s="60" t="s">
        <v>38</v>
      </c>
      <c r="D45" s="76"/>
      <c r="E45" s="76"/>
      <c r="F45" s="21"/>
      <c r="G45" s="27"/>
      <c r="H45" s="5"/>
      <c r="I45" s="5"/>
      <c r="J45" s="29"/>
      <c r="K45" s="29" t="s">
        <v>39</v>
      </c>
      <c r="L45" s="29" t="s">
        <v>40</v>
      </c>
    </row>
    <row r="46" spans="1:12" ht="16.25" customHeight="1" x14ac:dyDescent="0.2">
      <c r="A46" s="7">
        <v>45882</v>
      </c>
      <c r="B46" s="61">
        <v>1</v>
      </c>
      <c r="C46" s="60" t="s">
        <v>41</v>
      </c>
      <c r="D46" s="76"/>
      <c r="E46" s="76"/>
      <c r="F46" s="21"/>
      <c r="G46" s="27"/>
      <c r="H46" s="5"/>
      <c r="I46" s="5"/>
      <c r="J46" s="29"/>
      <c r="K46" s="29" t="s">
        <v>42</v>
      </c>
      <c r="L46" s="29" t="s">
        <v>43</v>
      </c>
    </row>
    <row r="47" spans="1:12" ht="16.25" customHeight="1" x14ac:dyDescent="0.2">
      <c r="A47" s="7">
        <v>45883</v>
      </c>
      <c r="B47" s="61">
        <v>2</v>
      </c>
      <c r="C47" s="60"/>
      <c r="D47" s="76"/>
      <c r="E47" s="76"/>
      <c r="F47" s="21"/>
      <c r="G47" s="27"/>
      <c r="H47" s="5"/>
      <c r="I47" s="5"/>
      <c r="J47" s="29" t="s">
        <v>44</v>
      </c>
      <c r="K47" s="29" t="s">
        <v>45</v>
      </c>
      <c r="L47" s="29"/>
    </row>
    <row r="48" spans="1:12" ht="16.25" customHeight="1" x14ac:dyDescent="0.2">
      <c r="A48" s="7">
        <v>45884</v>
      </c>
      <c r="B48" s="61">
        <v>3</v>
      </c>
      <c r="C48" s="60"/>
      <c r="D48" s="76"/>
      <c r="E48" s="76"/>
      <c r="F48" s="21"/>
      <c r="G48" s="27"/>
      <c r="H48" s="5"/>
      <c r="I48" s="5"/>
      <c r="J48" s="29" t="s">
        <v>46</v>
      </c>
      <c r="K48" s="29"/>
      <c r="L48" s="29"/>
    </row>
    <row r="49" spans="1:12" ht="16.25" customHeight="1" x14ac:dyDescent="0.2">
      <c r="A49" s="10">
        <v>45885</v>
      </c>
      <c r="B49" s="56" t="s">
        <v>20</v>
      </c>
      <c r="C49" s="57"/>
      <c r="D49" s="74"/>
      <c r="E49" s="74"/>
      <c r="F49" s="20"/>
      <c r="G49" s="26"/>
      <c r="H49" s="8"/>
      <c r="I49" s="8"/>
      <c r="J49" s="29"/>
      <c r="K49" s="29"/>
      <c r="L49" s="29"/>
    </row>
    <row r="50" spans="1:12" ht="16.25" customHeight="1" x14ac:dyDescent="0.2">
      <c r="A50" s="10">
        <v>45886</v>
      </c>
      <c r="B50" s="56" t="s">
        <v>20</v>
      </c>
      <c r="C50" s="57"/>
      <c r="D50" s="74"/>
      <c r="E50" s="74"/>
      <c r="F50" s="20"/>
      <c r="G50" s="26"/>
      <c r="H50" s="8"/>
      <c r="I50" s="8"/>
      <c r="J50" s="29"/>
      <c r="K50" s="29"/>
      <c r="L50" s="29"/>
    </row>
    <row r="51" spans="1:12" ht="16.25" customHeight="1" x14ac:dyDescent="0.2">
      <c r="A51" s="10">
        <v>45887</v>
      </c>
      <c r="B51" s="56" t="s">
        <v>17</v>
      </c>
      <c r="C51" s="57"/>
      <c r="D51" s="74"/>
      <c r="E51" s="74"/>
      <c r="F51" s="20"/>
      <c r="G51" s="26"/>
      <c r="H51" s="8"/>
      <c r="I51" s="8"/>
      <c r="J51" s="29"/>
      <c r="K51" s="29"/>
      <c r="L51" s="29"/>
    </row>
    <row r="52" spans="1:12" ht="16.25" customHeight="1" x14ac:dyDescent="0.2">
      <c r="A52" s="7">
        <v>45888</v>
      </c>
      <c r="B52" s="61">
        <v>4</v>
      </c>
      <c r="C52" s="60"/>
      <c r="D52" s="76" t="s">
        <v>221</v>
      </c>
      <c r="E52" s="76"/>
      <c r="F52" s="21"/>
      <c r="G52" s="27">
        <f>1+SUM(G43:G49)</f>
        <v>2</v>
      </c>
      <c r="H52" s="5"/>
      <c r="I52" s="5"/>
      <c r="J52" s="29"/>
      <c r="K52" s="29"/>
      <c r="L52" s="29"/>
    </row>
    <row r="53" spans="1:12" ht="16.25" customHeight="1" x14ac:dyDescent="0.2">
      <c r="A53" s="7">
        <v>45889</v>
      </c>
      <c r="B53" s="61">
        <v>5</v>
      </c>
      <c r="C53" s="60"/>
      <c r="D53" s="76" t="s">
        <v>222</v>
      </c>
      <c r="E53" s="76"/>
      <c r="F53" s="21"/>
      <c r="G53" s="27"/>
      <c r="H53" s="5"/>
      <c r="I53" s="5"/>
      <c r="J53" s="29"/>
      <c r="K53" s="29"/>
      <c r="L53" s="29"/>
    </row>
    <row r="54" spans="1:12" ht="16.25" customHeight="1" x14ac:dyDescent="0.2">
      <c r="A54" s="7">
        <v>45890</v>
      </c>
      <c r="B54" s="61">
        <v>6</v>
      </c>
      <c r="C54" s="60"/>
      <c r="D54" s="82"/>
      <c r="E54" s="76"/>
      <c r="F54" s="21">
        <v>1</v>
      </c>
      <c r="G54" s="27"/>
      <c r="H54" s="5"/>
      <c r="I54" s="5"/>
      <c r="J54" s="29"/>
      <c r="K54" s="29"/>
      <c r="L54" s="29"/>
    </row>
    <row r="55" spans="1:12" ht="16.25" customHeight="1" x14ac:dyDescent="0.2">
      <c r="A55" s="7">
        <v>45891</v>
      </c>
      <c r="B55" s="61">
        <v>1</v>
      </c>
      <c r="C55" s="60"/>
      <c r="D55" s="76"/>
      <c r="E55" s="76"/>
      <c r="F55" s="21"/>
      <c r="G55" s="27"/>
      <c r="H55" s="5"/>
      <c r="I55" s="5"/>
      <c r="J55" s="29"/>
      <c r="K55" s="29"/>
      <c r="L55" s="29"/>
    </row>
    <row r="56" spans="1:12" ht="16.25" customHeight="1" x14ac:dyDescent="0.2">
      <c r="A56" s="10">
        <v>45892</v>
      </c>
      <c r="B56" s="56" t="s">
        <v>20</v>
      </c>
      <c r="C56" s="57"/>
      <c r="D56" s="74"/>
      <c r="E56" s="74"/>
      <c r="F56" s="20"/>
      <c r="G56" s="26"/>
      <c r="H56" s="8"/>
      <c r="I56" s="8"/>
      <c r="J56" s="29"/>
      <c r="K56" s="29"/>
      <c r="L56" s="29"/>
    </row>
    <row r="57" spans="1:12" ht="16.25" customHeight="1" x14ac:dyDescent="0.2">
      <c r="A57" s="10">
        <v>45893</v>
      </c>
      <c r="B57" s="56" t="s">
        <v>20</v>
      </c>
      <c r="C57" s="57"/>
      <c r="D57" s="74"/>
      <c r="E57" s="74"/>
      <c r="F57" s="20"/>
      <c r="G57" s="26"/>
      <c r="H57" s="8"/>
      <c r="I57" s="8"/>
      <c r="J57" s="29"/>
      <c r="K57" s="29"/>
      <c r="L57" s="29"/>
    </row>
    <row r="58" spans="1:12" ht="16.25" customHeight="1" x14ac:dyDescent="0.2">
      <c r="A58" s="7">
        <v>45894</v>
      </c>
      <c r="B58" s="61">
        <v>2</v>
      </c>
      <c r="C58" s="60"/>
      <c r="D58" s="76" t="s">
        <v>223</v>
      </c>
      <c r="E58" s="76"/>
      <c r="F58" s="21"/>
      <c r="G58" s="27">
        <f>1+SUM(G49:G55)</f>
        <v>3</v>
      </c>
      <c r="H58" s="5"/>
      <c r="I58" s="5"/>
      <c r="J58" s="29"/>
      <c r="K58" s="29"/>
      <c r="L58" s="29"/>
    </row>
    <row r="59" spans="1:12" ht="16.25" customHeight="1" x14ac:dyDescent="0.2">
      <c r="A59" s="7">
        <v>45895</v>
      </c>
      <c r="B59" s="61">
        <v>3</v>
      </c>
      <c r="C59" s="60"/>
      <c r="D59" s="76" t="s">
        <v>224</v>
      </c>
      <c r="E59" s="76"/>
      <c r="F59" s="21"/>
      <c r="G59" s="27"/>
      <c r="H59" s="5"/>
      <c r="I59" s="5"/>
      <c r="J59" s="29"/>
      <c r="K59" s="29"/>
      <c r="L59" s="29"/>
    </row>
    <row r="60" spans="1:12" ht="16.25" customHeight="1" x14ac:dyDescent="0.2">
      <c r="A60" s="7">
        <v>45896</v>
      </c>
      <c r="B60" s="61">
        <v>4</v>
      </c>
      <c r="C60" s="60"/>
      <c r="D60" s="76"/>
      <c r="E60" s="76"/>
      <c r="F60" s="21"/>
      <c r="G60" s="27"/>
      <c r="H60" s="5"/>
      <c r="I60" s="5"/>
      <c r="J60" s="29"/>
      <c r="K60" s="29"/>
      <c r="L60" s="29"/>
    </row>
    <row r="61" spans="1:12" ht="16.25" customHeight="1" x14ac:dyDescent="0.2">
      <c r="A61" s="7">
        <v>45897</v>
      </c>
      <c r="B61" s="61">
        <v>5</v>
      </c>
      <c r="C61" s="60"/>
      <c r="D61" s="76"/>
      <c r="E61" s="76"/>
      <c r="F61" s="21"/>
      <c r="G61" s="27"/>
      <c r="H61" s="5"/>
      <c r="I61" s="5"/>
      <c r="J61" s="29"/>
      <c r="K61" s="29"/>
      <c r="L61" s="29"/>
    </row>
    <row r="62" spans="1:12" ht="16.25" customHeight="1" x14ac:dyDescent="0.2">
      <c r="A62" s="7">
        <v>45898</v>
      </c>
      <c r="B62" s="61">
        <v>6</v>
      </c>
      <c r="C62" s="60"/>
      <c r="D62" s="76"/>
      <c r="E62" s="76"/>
      <c r="F62" s="21">
        <v>2</v>
      </c>
      <c r="G62" s="27"/>
      <c r="H62" s="5"/>
      <c r="I62" s="5"/>
      <c r="J62" s="29"/>
      <c r="K62" s="29"/>
      <c r="L62" s="29"/>
    </row>
    <row r="63" spans="1:12" ht="16.25" customHeight="1" x14ac:dyDescent="0.2">
      <c r="A63" s="10">
        <v>45899</v>
      </c>
      <c r="B63" s="56" t="s">
        <v>48</v>
      </c>
      <c r="C63" s="56" t="s">
        <v>48</v>
      </c>
      <c r="D63" s="77"/>
      <c r="E63" s="77"/>
      <c r="F63" s="20"/>
      <c r="G63" s="26"/>
      <c r="H63" s="8"/>
      <c r="I63" s="8"/>
      <c r="J63" s="29"/>
      <c r="K63" s="29"/>
      <c r="L63" s="29"/>
    </row>
    <row r="64" spans="1:12" ht="16.25" customHeight="1" x14ac:dyDescent="0.2">
      <c r="A64" s="10">
        <v>45900</v>
      </c>
      <c r="B64" s="56" t="s">
        <v>20</v>
      </c>
      <c r="C64" s="57"/>
      <c r="D64" s="74"/>
      <c r="E64" s="74"/>
      <c r="F64" s="20"/>
      <c r="G64" s="26"/>
      <c r="H64" s="8"/>
      <c r="I64" s="8"/>
      <c r="J64" s="29"/>
      <c r="K64" s="29"/>
      <c r="L64" s="29"/>
    </row>
    <row r="65" spans="1:12" ht="16.25" customHeight="1" x14ac:dyDescent="0.2">
      <c r="A65" s="7">
        <v>45901</v>
      </c>
      <c r="B65" s="61">
        <v>1</v>
      </c>
      <c r="C65" s="60"/>
      <c r="D65" s="76"/>
      <c r="E65" s="76"/>
      <c r="F65" s="21"/>
      <c r="G65" s="27">
        <f>1+SUM(G56:G62)</f>
        <v>4</v>
      </c>
      <c r="H65" s="5"/>
      <c r="I65" s="5"/>
      <c r="J65" s="29"/>
      <c r="K65" s="29"/>
      <c r="L65" s="29"/>
    </row>
    <row r="66" spans="1:12" ht="16.25" customHeight="1" x14ac:dyDescent="0.2">
      <c r="A66" s="7">
        <v>45902</v>
      </c>
      <c r="B66" s="61">
        <v>2</v>
      </c>
      <c r="C66" s="60"/>
      <c r="D66" s="82"/>
      <c r="E66" s="76"/>
      <c r="F66" s="21"/>
      <c r="G66" s="27"/>
      <c r="H66" s="5"/>
      <c r="I66" s="5"/>
      <c r="J66" s="29"/>
      <c r="K66" s="29"/>
      <c r="L66" s="29"/>
    </row>
    <row r="67" spans="1:12" ht="16.25" customHeight="1" x14ac:dyDescent="0.2">
      <c r="A67" s="7">
        <v>45903</v>
      </c>
      <c r="B67" s="61">
        <v>3</v>
      </c>
      <c r="C67" s="60"/>
      <c r="D67" s="76"/>
      <c r="E67" s="76"/>
      <c r="F67" s="21"/>
      <c r="G67" s="27"/>
      <c r="H67" s="5"/>
      <c r="I67" s="5"/>
      <c r="J67" s="29"/>
      <c r="K67" s="29"/>
      <c r="L67" s="29"/>
    </row>
    <row r="68" spans="1:12" ht="16.25" customHeight="1" x14ac:dyDescent="0.2">
      <c r="A68" s="7">
        <v>45904</v>
      </c>
      <c r="B68" s="61">
        <v>4</v>
      </c>
      <c r="C68" s="60"/>
      <c r="D68" s="76"/>
      <c r="E68" s="76"/>
      <c r="F68" s="21"/>
      <c r="G68" s="27"/>
      <c r="H68" s="5"/>
      <c r="I68" s="5"/>
      <c r="J68" s="29"/>
      <c r="K68" s="29"/>
      <c r="L68" s="29"/>
    </row>
    <row r="69" spans="1:12" ht="16.25" customHeight="1" x14ac:dyDescent="0.2">
      <c r="A69" s="7">
        <v>45905</v>
      </c>
      <c r="B69" s="58" t="s">
        <v>51</v>
      </c>
      <c r="C69" s="60" t="s">
        <v>138</v>
      </c>
      <c r="D69" s="76"/>
      <c r="E69" s="76"/>
      <c r="F69" s="21"/>
      <c r="G69" s="27"/>
      <c r="H69" s="5"/>
      <c r="I69" s="5"/>
      <c r="J69" s="29"/>
      <c r="K69" s="29"/>
      <c r="L69" s="29"/>
    </row>
    <row r="70" spans="1:12" ht="16.25" customHeight="1" x14ac:dyDescent="0.2">
      <c r="A70" s="10">
        <v>45906</v>
      </c>
      <c r="B70" s="56" t="s">
        <v>20</v>
      </c>
      <c r="C70" s="57"/>
      <c r="D70" s="74"/>
      <c r="E70" s="74"/>
      <c r="F70" s="20"/>
      <c r="G70" s="26"/>
      <c r="H70" s="8"/>
      <c r="I70" s="8"/>
      <c r="J70" s="29"/>
      <c r="K70" s="29"/>
      <c r="L70" s="29"/>
    </row>
    <row r="71" spans="1:12" ht="16.25" customHeight="1" x14ac:dyDescent="0.2">
      <c r="A71" s="10">
        <v>45907</v>
      </c>
      <c r="B71" s="56" t="s">
        <v>20</v>
      </c>
      <c r="C71" s="57"/>
      <c r="D71" s="74"/>
      <c r="E71" s="74"/>
      <c r="F71" s="20"/>
      <c r="G71" s="26"/>
      <c r="H71" s="8"/>
      <c r="I71" s="8"/>
      <c r="J71" s="29"/>
      <c r="K71" s="29"/>
      <c r="L71" s="29"/>
    </row>
    <row r="72" spans="1:12" ht="16.25" customHeight="1" x14ac:dyDescent="0.2">
      <c r="A72" s="7">
        <v>45908</v>
      </c>
      <c r="B72" s="61">
        <v>5</v>
      </c>
      <c r="C72" s="60" t="s">
        <v>53</v>
      </c>
      <c r="D72" s="76"/>
      <c r="E72" s="76"/>
      <c r="F72" s="21"/>
      <c r="G72" s="27">
        <f>1+SUM(G63:G69)</f>
        <v>5</v>
      </c>
      <c r="H72" s="5"/>
      <c r="I72" s="5"/>
      <c r="J72" s="29"/>
      <c r="K72" s="29"/>
      <c r="L72" s="29"/>
    </row>
    <row r="73" spans="1:12" ht="16.25" customHeight="1" x14ac:dyDescent="0.2">
      <c r="A73" s="7">
        <v>45909</v>
      </c>
      <c r="B73" s="61">
        <v>6</v>
      </c>
      <c r="C73" s="60"/>
      <c r="D73" s="76"/>
      <c r="E73" s="76"/>
      <c r="F73" s="21">
        <v>3</v>
      </c>
      <c r="G73" s="27"/>
      <c r="H73" s="5"/>
      <c r="I73" s="5"/>
      <c r="J73" s="29"/>
      <c r="K73" s="29"/>
      <c r="L73" s="29"/>
    </row>
    <row r="74" spans="1:12" ht="16.25" customHeight="1" x14ac:dyDescent="0.2">
      <c r="A74" s="7">
        <v>45910</v>
      </c>
      <c r="B74" s="61">
        <v>1</v>
      </c>
      <c r="C74" s="60"/>
      <c r="D74" s="76"/>
      <c r="E74" s="76"/>
      <c r="F74" s="21"/>
      <c r="G74" s="27"/>
      <c r="H74" s="5"/>
      <c r="I74" s="5"/>
      <c r="J74" s="29"/>
      <c r="K74" s="29"/>
      <c r="L74" s="29"/>
    </row>
    <row r="75" spans="1:12" ht="16.25" customHeight="1" x14ac:dyDescent="0.2">
      <c r="A75" s="7">
        <v>45911</v>
      </c>
      <c r="B75" s="61">
        <v>2</v>
      </c>
      <c r="C75" s="60"/>
      <c r="D75" s="76" t="s">
        <v>225</v>
      </c>
      <c r="E75" s="110" t="s">
        <v>226</v>
      </c>
      <c r="F75" s="21"/>
      <c r="G75" s="27"/>
      <c r="H75" s="5"/>
      <c r="I75" s="5"/>
      <c r="J75" s="29"/>
      <c r="K75" s="29"/>
      <c r="L75" s="29"/>
    </row>
    <row r="76" spans="1:12" ht="16.25" customHeight="1" x14ac:dyDescent="0.2">
      <c r="A76" s="7">
        <v>45912</v>
      </c>
      <c r="B76" s="61">
        <v>3</v>
      </c>
      <c r="C76" s="60"/>
      <c r="D76" s="76"/>
      <c r="E76" s="76"/>
      <c r="F76" s="21"/>
      <c r="G76" s="27"/>
      <c r="H76" s="5"/>
      <c r="I76" s="5"/>
      <c r="J76" s="29"/>
      <c r="K76" s="29"/>
      <c r="L76" s="29"/>
    </row>
    <row r="77" spans="1:12" ht="16.25" customHeight="1" x14ac:dyDescent="0.2">
      <c r="A77" s="10">
        <v>45913</v>
      </c>
      <c r="B77" s="56" t="s">
        <v>20</v>
      </c>
      <c r="C77" s="57"/>
      <c r="D77" s="74"/>
      <c r="E77" s="74"/>
      <c r="F77" s="20"/>
      <c r="G77" s="26"/>
      <c r="H77" s="8"/>
      <c r="I77" s="8"/>
      <c r="J77" s="29"/>
      <c r="K77" s="29"/>
      <c r="L77" s="29"/>
    </row>
    <row r="78" spans="1:12" ht="16.25" customHeight="1" x14ac:dyDescent="0.2">
      <c r="A78" s="10">
        <v>45914</v>
      </c>
      <c r="B78" s="56" t="s">
        <v>20</v>
      </c>
      <c r="C78" s="57"/>
      <c r="D78" s="74"/>
      <c r="E78" s="74"/>
      <c r="F78" s="20"/>
      <c r="G78" s="26"/>
      <c r="H78" s="8"/>
      <c r="I78" s="8"/>
      <c r="J78" s="29"/>
      <c r="K78" s="29"/>
      <c r="L78" s="29"/>
    </row>
    <row r="79" spans="1:12" ht="16.25" customHeight="1" x14ac:dyDescent="0.2">
      <c r="A79" s="7">
        <v>45915</v>
      </c>
      <c r="B79" s="61">
        <v>4</v>
      </c>
      <c r="C79" s="60"/>
      <c r="D79" s="76"/>
      <c r="E79" s="76"/>
      <c r="F79" s="21"/>
      <c r="G79" s="27">
        <f>1+SUM(G70:G76)</f>
        <v>6</v>
      </c>
      <c r="H79" s="5"/>
      <c r="I79" s="5"/>
      <c r="J79" s="29"/>
      <c r="K79" s="29"/>
      <c r="L79" s="29"/>
    </row>
    <row r="80" spans="1:12" ht="16.25" customHeight="1" x14ac:dyDescent="0.2">
      <c r="A80" s="7">
        <v>45916</v>
      </c>
      <c r="B80" s="61">
        <v>5</v>
      </c>
      <c r="C80" s="60"/>
      <c r="D80" s="76"/>
      <c r="E80" s="76"/>
      <c r="F80" s="21"/>
      <c r="G80" s="27"/>
      <c r="H80" s="5"/>
      <c r="I80" s="5"/>
      <c r="J80" s="29"/>
      <c r="K80" s="29"/>
      <c r="L80" s="29"/>
    </row>
    <row r="81" spans="1:12" ht="16.25" customHeight="1" x14ac:dyDescent="0.2">
      <c r="A81" s="7">
        <v>45917</v>
      </c>
      <c r="B81" s="61">
        <v>6</v>
      </c>
      <c r="C81" s="60"/>
      <c r="D81" s="76" t="s">
        <v>227</v>
      </c>
      <c r="E81" s="76"/>
      <c r="F81" s="21">
        <v>4</v>
      </c>
      <c r="G81" s="27"/>
      <c r="H81" s="5"/>
      <c r="I81" s="5"/>
      <c r="J81" s="29"/>
      <c r="K81" s="29"/>
      <c r="L81" s="29"/>
    </row>
    <row r="82" spans="1:12" ht="16.25" customHeight="1" x14ac:dyDescent="0.2">
      <c r="A82" s="7">
        <v>45918</v>
      </c>
      <c r="B82" s="61">
        <v>1</v>
      </c>
      <c r="C82" s="60"/>
      <c r="D82" s="76"/>
      <c r="E82" s="76"/>
      <c r="F82" s="21"/>
      <c r="G82" s="27"/>
      <c r="H82" s="5"/>
      <c r="I82" s="5"/>
      <c r="J82" s="29"/>
      <c r="K82" s="29"/>
      <c r="L82" s="29"/>
    </row>
    <row r="83" spans="1:12" ht="16.25" customHeight="1" x14ac:dyDescent="0.2">
      <c r="A83" s="7">
        <v>45919</v>
      </c>
      <c r="B83" s="61">
        <v>2</v>
      </c>
      <c r="C83" s="60"/>
      <c r="D83" s="76"/>
      <c r="E83" s="76"/>
      <c r="F83" s="21"/>
      <c r="G83" s="27"/>
      <c r="H83" s="5"/>
      <c r="I83" s="5"/>
      <c r="J83" s="29"/>
      <c r="K83" s="29"/>
      <c r="L83" s="29"/>
    </row>
    <row r="84" spans="1:12" ht="16.25" customHeight="1" x14ac:dyDescent="0.2">
      <c r="A84" s="10">
        <v>45920</v>
      </c>
      <c r="B84" s="56" t="s">
        <v>20</v>
      </c>
      <c r="C84" s="57"/>
      <c r="D84" s="74"/>
      <c r="E84" s="74"/>
      <c r="F84" s="20"/>
      <c r="G84" s="26"/>
      <c r="H84" s="8"/>
      <c r="I84" s="8"/>
      <c r="J84" s="29"/>
      <c r="K84" s="29"/>
      <c r="L84" s="29"/>
    </row>
    <row r="85" spans="1:12" ht="16.25" customHeight="1" x14ac:dyDescent="0.2">
      <c r="A85" s="10">
        <v>45921</v>
      </c>
      <c r="B85" s="56" t="s">
        <v>20</v>
      </c>
      <c r="C85" s="57"/>
      <c r="D85" s="74"/>
      <c r="E85" s="74"/>
      <c r="F85" s="20"/>
      <c r="G85" s="26"/>
      <c r="H85" s="8"/>
      <c r="I85" s="8"/>
      <c r="J85" s="29"/>
      <c r="K85" s="29"/>
      <c r="L85" s="29"/>
    </row>
    <row r="86" spans="1:12" ht="16.25" customHeight="1" x14ac:dyDescent="0.2">
      <c r="A86" s="7">
        <v>45922</v>
      </c>
      <c r="B86" s="61">
        <v>3</v>
      </c>
      <c r="C86" s="60"/>
      <c r="D86" s="76"/>
      <c r="E86" s="76"/>
      <c r="F86" s="21"/>
      <c r="G86" s="27">
        <f>1+SUM(G77:G83)</f>
        <v>7</v>
      </c>
      <c r="H86" s="5"/>
      <c r="I86" s="5"/>
      <c r="J86" s="29"/>
      <c r="K86" s="29"/>
      <c r="L86" s="29"/>
    </row>
    <row r="87" spans="1:12" ht="16.25" customHeight="1" x14ac:dyDescent="0.2">
      <c r="A87" s="7">
        <v>45923</v>
      </c>
      <c r="B87" s="61">
        <v>4</v>
      </c>
      <c r="C87" s="60"/>
      <c r="D87" s="76" t="s">
        <v>228</v>
      </c>
      <c r="E87" s="76"/>
      <c r="F87" s="21"/>
      <c r="G87" s="27"/>
      <c r="H87" s="5"/>
      <c r="I87" s="5"/>
      <c r="J87" s="29"/>
      <c r="K87" s="29"/>
      <c r="L87" s="29"/>
    </row>
    <row r="88" spans="1:12" ht="16.25" customHeight="1" x14ac:dyDescent="0.2">
      <c r="A88" s="7">
        <v>45924</v>
      </c>
      <c r="B88" s="61">
        <v>5</v>
      </c>
      <c r="C88" s="60"/>
      <c r="D88" s="76"/>
      <c r="E88" s="76"/>
      <c r="F88" s="21"/>
      <c r="G88" s="27"/>
      <c r="H88" s="5"/>
      <c r="I88" s="5"/>
      <c r="J88" s="29"/>
      <c r="K88" s="29"/>
      <c r="L88" s="29"/>
    </row>
    <row r="89" spans="1:12" ht="16.25" customHeight="1" x14ac:dyDescent="0.2">
      <c r="A89" s="7">
        <v>45925</v>
      </c>
      <c r="B89" s="61">
        <v>6</v>
      </c>
      <c r="C89" s="60"/>
      <c r="D89" s="76"/>
      <c r="E89" s="76"/>
      <c r="F89" s="21">
        <v>5</v>
      </c>
      <c r="G89" s="27"/>
      <c r="H89" s="5"/>
      <c r="I89" s="5"/>
      <c r="J89" s="29"/>
      <c r="K89" s="29"/>
      <c r="L89" s="29"/>
    </row>
    <row r="90" spans="1:12" ht="16.25" customHeight="1" x14ac:dyDescent="0.2">
      <c r="A90" s="7">
        <v>45926</v>
      </c>
      <c r="B90" s="61">
        <v>1</v>
      </c>
      <c r="C90" s="60"/>
      <c r="D90" s="76"/>
      <c r="E90" s="76"/>
      <c r="F90" s="21"/>
      <c r="G90" s="27"/>
      <c r="H90" s="5"/>
      <c r="I90" s="5"/>
      <c r="J90" s="29"/>
      <c r="K90" s="29"/>
      <c r="L90" s="29"/>
    </row>
    <row r="91" spans="1:12" ht="16.25" customHeight="1" x14ac:dyDescent="0.2">
      <c r="A91" s="10">
        <v>45927</v>
      </c>
      <c r="B91" s="56" t="s">
        <v>20</v>
      </c>
      <c r="C91" s="57"/>
      <c r="D91" s="74"/>
      <c r="E91" s="74"/>
      <c r="F91" s="20"/>
      <c r="G91" s="26"/>
      <c r="H91" s="8"/>
      <c r="I91" s="8"/>
      <c r="J91" s="29"/>
      <c r="K91" s="29"/>
      <c r="L91" s="29"/>
    </row>
    <row r="92" spans="1:12" ht="16.25" customHeight="1" x14ac:dyDescent="0.2">
      <c r="A92" s="10">
        <v>45928</v>
      </c>
      <c r="B92" s="56" t="s">
        <v>20</v>
      </c>
      <c r="C92" s="57"/>
      <c r="D92" s="74"/>
      <c r="E92" s="74"/>
      <c r="F92" s="20"/>
      <c r="G92" s="26"/>
      <c r="H92" s="8"/>
      <c r="I92" s="8"/>
      <c r="J92" s="29"/>
      <c r="K92" s="29"/>
      <c r="L92" s="29"/>
    </row>
    <row r="93" spans="1:12" ht="16.25" customHeight="1" x14ac:dyDescent="0.2">
      <c r="A93" s="7">
        <v>45929</v>
      </c>
      <c r="B93" s="61">
        <v>2</v>
      </c>
      <c r="C93" s="60"/>
      <c r="D93" s="76"/>
      <c r="E93" s="76"/>
      <c r="F93" s="21"/>
      <c r="G93" s="27">
        <f>1+SUM(G84:G90)</f>
        <v>8</v>
      </c>
      <c r="H93" s="5"/>
      <c r="I93" s="5"/>
      <c r="J93" s="29"/>
      <c r="K93" s="29"/>
      <c r="L93" s="29"/>
    </row>
    <row r="94" spans="1:12" ht="16.25" customHeight="1" x14ac:dyDescent="0.2">
      <c r="A94" s="7">
        <v>45930</v>
      </c>
      <c r="B94" s="61">
        <v>3</v>
      </c>
      <c r="C94" s="60"/>
      <c r="D94" s="76" t="s">
        <v>229</v>
      </c>
      <c r="E94" s="76" t="s">
        <v>230</v>
      </c>
      <c r="F94" s="21"/>
      <c r="G94" s="27"/>
      <c r="H94" s="5"/>
      <c r="I94" s="5"/>
      <c r="J94" s="29"/>
      <c r="K94" s="29"/>
      <c r="L94" s="29"/>
    </row>
    <row r="95" spans="1:12" ht="16.25" customHeight="1" x14ac:dyDescent="0.2">
      <c r="A95" s="7">
        <v>45931</v>
      </c>
      <c r="B95" s="61">
        <v>4</v>
      </c>
      <c r="C95" s="60"/>
      <c r="D95" s="76" t="s">
        <v>231</v>
      </c>
      <c r="E95" s="76"/>
      <c r="F95" s="21"/>
      <c r="G95" s="27"/>
      <c r="H95" s="5"/>
      <c r="I95" s="5"/>
      <c r="J95" s="29"/>
      <c r="K95" s="29"/>
      <c r="L95" s="29"/>
    </row>
    <row r="96" spans="1:12" ht="16.25" customHeight="1" x14ac:dyDescent="0.2">
      <c r="A96" s="7">
        <v>45932</v>
      </c>
      <c r="B96" s="61">
        <v>5</v>
      </c>
      <c r="C96" s="60"/>
      <c r="D96" s="76" t="s">
        <v>232</v>
      </c>
      <c r="E96" s="81"/>
      <c r="F96" s="21"/>
      <c r="G96" s="27"/>
      <c r="H96" s="5"/>
      <c r="I96" s="5"/>
      <c r="J96" s="29"/>
      <c r="K96" s="29"/>
      <c r="L96" s="29"/>
    </row>
    <row r="97" spans="1:12" ht="16.25" customHeight="1" x14ac:dyDescent="0.2">
      <c r="A97" s="37">
        <v>45933</v>
      </c>
      <c r="B97" s="62">
        <v>6</v>
      </c>
      <c r="C97" s="63" t="s">
        <v>61</v>
      </c>
      <c r="D97" s="78"/>
      <c r="E97" s="78"/>
      <c r="F97" s="40">
        <v>6</v>
      </c>
      <c r="G97" s="41"/>
      <c r="H97" s="42"/>
      <c r="I97" s="42"/>
      <c r="J97" s="43"/>
      <c r="K97" s="43"/>
      <c r="L97" s="43"/>
    </row>
    <row r="98" spans="1:12" ht="16.25" customHeight="1" x14ac:dyDescent="0.2">
      <c r="A98" s="10">
        <v>45934</v>
      </c>
      <c r="B98" s="56" t="s">
        <v>62</v>
      </c>
      <c r="C98" s="57"/>
      <c r="D98" s="74"/>
      <c r="E98" s="74"/>
      <c r="F98" s="20"/>
      <c r="G98" s="26"/>
      <c r="H98" s="8"/>
      <c r="I98" s="8"/>
      <c r="J98" s="29" t="s">
        <v>63</v>
      </c>
      <c r="K98" s="29" t="s">
        <v>63</v>
      </c>
      <c r="L98" s="29" t="s">
        <v>63</v>
      </c>
    </row>
    <row r="99" spans="1:12" ht="16.25" customHeight="1" x14ac:dyDescent="0.2">
      <c r="A99" s="10">
        <v>45935</v>
      </c>
      <c r="B99" s="56" t="s">
        <v>62</v>
      </c>
      <c r="C99" s="57"/>
      <c r="D99" s="74"/>
      <c r="E99" s="74"/>
      <c r="F99" s="20"/>
      <c r="G99" s="26"/>
      <c r="H99" s="8"/>
      <c r="I99" s="8"/>
      <c r="J99" s="29" t="s">
        <v>63</v>
      </c>
      <c r="K99" s="29" t="s">
        <v>63</v>
      </c>
      <c r="L99" s="29" t="s">
        <v>63</v>
      </c>
    </row>
    <row r="100" spans="1:12" ht="16.25" customHeight="1" x14ac:dyDescent="0.2">
      <c r="A100" s="10">
        <v>45936</v>
      </c>
      <c r="B100" s="56" t="s">
        <v>62</v>
      </c>
      <c r="C100" s="57"/>
      <c r="D100" s="74"/>
      <c r="E100" s="74"/>
      <c r="F100" s="20"/>
      <c r="G100" s="26"/>
      <c r="H100" s="8"/>
      <c r="I100" s="8"/>
      <c r="J100" s="29" t="s">
        <v>63</v>
      </c>
      <c r="K100" s="29" t="s">
        <v>63</v>
      </c>
      <c r="L100" s="29" t="s">
        <v>63</v>
      </c>
    </row>
    <row r="101" spans="1:12" ht="16.25" customHeight="1" x14ac:dyDescent="0.2">
      <c r="A101" s="10">
        <v>45937</v>
      </c>
      <c r="B101" s="56" t="s">
        <v>62</v>
      </c>
      <c r="C101" s="57"/>
      <c r="D101" s="74"/>
      <c r="E101" s="74"/>
      <c r="F101" s="20"/>
      <c r="G101" s="26"/>
      <c r="H101" s="8"/>
      <c r="I101" s="8"/>
      <c r="J101" s="29" t="s">
        <v>63</v>
      </c>
      <c r="K101" s="29" t="s">
        <v>63</v>
      </c>
      <c r="L101" s="29" t="s">
        <v>63</v>
      </c>
    </row>
    <row r="102" spans="1:12" ht="16.25" customHeight="1" x14ac:dyDescent="0.2">
      <c r="A102" s="10">
        <v>45938</v>
      </c>
      <c r="B102" s="56" t="s">
        <v>62</v>
      </c>
      <c r="C102" s="57"/>
      <c r="D102" s="74"/>
      <c r="E102" s="74"/>
      <c r="F102" s="20"/>
      <c r="G102" s="26"/>
      <c r="H102" s="8"/>
      <c r="I102" s="8"/>
      <c r="J102" s="29" t="s">
        <v>63</v>
      </c>
      <c r="K102" s="29" t="s">
        <v>63</v>
      </c>
      <c r="L102" s="29" t="s">
        <v>63</v>
      </c>
    </row>
    <row r="103" spans="1:12" ht="16.25" customHeight="1" x14ac:dyDescent="0.2">
      <c r="A103" s="10">
        <v>45939</v>
      </c>
      <c r="B103" s="56" t="s">
        <v>62</v>
      </c>
      <c r="C103" s="57"/>
      <c r="D103" s="74"/>
      <c r="E103" s="74"/>
      <c r="F103" s="20"/>
      <c r="G103" s="26"/>
      <c r="H103" s="8"/>
      <c r="I103" s="8"/>
      <c r="J103" s="29" t="s">
        <v>63</v>
      </c>
      <c r="K103" s="29" t="s">
        <v>63</v>
      </c>
      <c r="L103" s="29" t="s">
        <v>63</v>
      </c>
    </row>
    <row r="104" spans="1:12" ht="16.25" customHeight="1" x14ac:dyDescent="0.2">
      <c r="A104" s="10">
        <v>45940</v>
      </c>
      <c r="B104" s="56" t="s">
        <v>62</v>
      </c>
      <c r="C104" s="57"/>
      <c r="D104" s="74"/>
      <c r="E104" s="74"/>
      <c r="F104" s="20"/>
      <c r="G104" s="26"/>
      <c r="H104" s="8"/>
      <c r="I104" s="8"/>
      <c r="J104" s="29" t="s">
        <v>63</v>
      </c>
      <c r="K104" s="29" t="s">
        <v>63</v>
      </c>
      <c r="L104" s="29" t="s">
        <v>63</v>
      </c>
    </row>
    <row r="105" spans="1:12" ht="16.25" customHeight="1" x14ac:dyDescent="0.2">
      <c r="A105" s="10">
        <v>45941</v>
      </c>
      <c r="B105" s="56" t="s">
        <v>62</v>
      </c>
      <c r="C105" s="57"/>
      <c r="D105" s="74"/>
      <c r="E105" s="74"/>
      <c r="F105" s="20"/>
      <c r="G105" s="26"/>
      <c r="H105" s="8"/>
      <c r="I105" s="8"/>
      <c r="J105" s="29" t="s">
        <v>63</v>
      </c>
      <c r="K105" s="29" t="s">
        <v>63</v>
      </c>
      <c r="L105" s="29" t="s">
        <v>63</v>
      </c>
    </row>
    <row r="106" spans="1:12" ht="16.25" customHeight="1" x14ac:dyDescent="0.2">
      <c r="A106" s="10">
        <v>45942</v>
      </c>
      <c r="B106" s="56" t="s">
        <v>62</v>
      </c>
      <c r="C106" s="57"/>
      <c r="D106" s="74"/>
      <c r="E106" s="74"/>
      <c r="F106" s="20"/>
      <c r="G106" s="26"/>
      <c r="H106" s="8"/>
      <c r="I106" s="8"/>
      <c r="J106" s="29" t="s">
        <v>63</v>
      </c>
      <c r="K106" s="29" t="s">
        <v>63</v>
      </c>
      <c r="L106" s="29" t="s">
        <v>63</v>
      </c>
    </row>
    <row r="107" spans="1:12" ht="16.25" customHeight="1" x14ac:dyDescent="0.2">
      <c r="A107" s="10">
        <v>45943</v>
      </c>
      <c r="B107" s="56" t="s">
        <v>17</v>
      </c>
      <c r="C107" s="57"/>
      <c r="D107" s="74"/>
      <c r="E107" s="74"/>
      <c r="F107" s="20"/>
      <c r="G107" s="26"/>
      <c r="H107" s="8"/>
      <c r="I107" s="8"/>
      <c r="J107" s="29" t="s">
        <v>63</v>
      </c>
      <c r="K107" s="29" t="s">
        <v>63</v>
      </c>
      <c r="L107" s="29" t="s">
        <v>63</v>
      </c>
    </row>
    <row r="108" spans="1:12" ht="16.25" customHeight="1" x14ac:dyDescent="0.2">
      <c r="A108" s="17">
        <v>45944</v>
      </c>
      <c r="B108" s="64" t="s">
        <v>64</v>
      </c>
      <c r="C108" s="65"/>
      <c r="D108" s="79"/>
      <c r="E108" s="79"/>
      <c r="F108" s="22"/>
      <c r="G108" s="28"/>
      <c r="H108" s="19"/>
      <c r="I108" s="19"/>
      <c r="J108" s="29" t="s">
        <v>65</v>
      </c>
      <c r="K108" s="29" t="s">
        <v>88</v>
      </c>
      <c r="L108" s="29"/>
    </row>
    <row r="109" spans="1:12" ht="16.25" customHeight="1" x14ac:dyDescent="0.2">
      <c r="A109" s="7">
        <v>45945</v>
      </c>
      <c r="B109" s="61">
        <v>1</v>
      </c>
      <c r="C109" s="60"/>
      <c r="D109" s="76"/>
      <c r="E109" s="76"/>
      <c r="F109" s="21"/>
      <c r="G109" s="27">
        <f>1+SUM(G92:G98)</f>
        <v>9</v>
      </c>
      <c r="H109" s="5"/>
      <c r="I109" s="5"/>
      <c r="J109" s="29" t="s">
        <v>88</v>
      </c>
      <c r="K109" s="29"/>
      <c r="L109" s="29"/>
    </row>
    <row r="110" spans="1:12" ht="16.25" customHeight="1" x14ac:dyDescent="0.2">
      <c r="A110" s="7">
        <v>45946</v>
      </c>
      <c r="B110" s="61">
        <v>2</v>
      </c>
      <c r="C110" s="60"/>
      <c r="D110" s="76" t="s">
        <v>233</v>
      </c>
      <c r="E110" s="81" t="s">
        <v>234</v>
      </c>
      <c r="F110" s="21"/>
      <c r="G110" s="27"/>
      <c r="H110" s="5"/>
      <c r="I110" s="5"/>
      <c r="J110" s="29"/>
      <c r="K110" s="29"/>
      <c r="L110" s="29"/>
    </row>
    <row r="111" spans="1:12" ht="16.25" customHeight="1" x14ac:dyDescent="0.2">
      <c r="A111" s="7">
        <v>45947</v>
      </c>
      <c r="B111" s="61">
        <v>3</v>
      </c>
      <c r="C111" s="60"/>
      <c r="D111" s="74" t="s">
        <v>235</v>
      </c>
      <c r="E111" s="76" t="s">
        <v>236</v>
      </c>
      <c r="F111" s="21"/>
      <c r="G111" s="27"/>
      <c r="H111" s="5"/>
      <c r="I111" s="5"/>
      <c r="J111" s="29"/>
      <c r="K111" s="29"/>
      <c r="L111" s="29"/>
    </row>
    <row r="112" spans="1:12" ht="16.25" customHeight="1" x14ac:dyDescent="0.2">
      <c r="A112" s="10">
        <v>45948</v>
      </c>
      <c r="B112" s="56" t="s">
        <v>20</v>
      </c>
      <c r="C112" s="57"/>
      <c r="D112" s="74"/>
      <c r="E112" s="81"/>
      <c r="F112" s="20"/>
      <c r="G112" s="26"/>
      <c r="H112" s="8"/>
      <c r="I112" s="8"/>
      <c r="J112" s="29"/>
      <c r="K112" s="29"/>
      <c r="L112" s="29"/>
    </row>
    <row r="113" spans="1:12" ht="16.25" customHeight="1" x14ac:dyDescent="0.2">
      <c r="A113" s="10">
        <v>45949</v>
      </c>
      <c r="B113" s="56" t="s">
        <v>20</v>
      </c>
      <c r="C113" s="57"/>
      <c r="D113" s="74"/>
      <c r="E113" s="74"/>
      <c r="F113" s="20"/>
      <c r="G113" s="26"/>
      <c r="H113" s="8"/>
      <c r="I113" s="8"/>
      <c r="J113" s="29"/>
      <c r="K113" s="29"/>
      <c r="L113" s="29"/>
    </row>
    <row r="114" spans="1:12" ht="16.25" customHeight="1" x14ac:dyDescent="0.2">
      <c r="A114" s="7">
        <v>45950</v>
      </c>
      <c r="B114" s="61">
        <v>4</v>
      </c>
      <c r="C114" s="60"/>
      <c r="D114" s="76" t="s">
        <v>149</v>
      </c>
      <c r="E114" s="81" t="s">
        <v>237</v>
      </c>
      <c r="F114" s="21"/>
      <c r="G114" s="27">
        <f>1+SUM(G105:G111)</f>
        <v>10</v>
      </c>
      <c r="H114" s="5"/>
      <c r="I114" s="5"/>
      <c r="J114" s="29"/>
      <c r="K114" s="29"/>
      <c r="L114" s="29"/>
    </row>
    <row r="115" spans="1:12" ht="16.25" customHeight="1" x14ac:dyDescent="0.2">
      <c r="A115" s="7">
        <v>45951</v>
      </c>
      <c r="B115" s="61">
        <v>5</v>
      </c>
      <c r="C115" s="60"/>
      <c r="D115" s="76" t="s">
        <v>149</v>
      </c>
      <c r="E115" s="81" t="s">
        <v>238</v>
      </c>
      <c r="F115" s="21"/>
      <c r="G115" s="27"/>
      <c r="H115" s="5"/>
      <c r="I115" s="5"/>
      <c r="J115" s="29"/>
      <c r="K115" s="29"/>
      <c r="L115" s="29"/>
    </row>
    <row r="116" spans="1:12" ht="16.25" customHeight="1" x14ac:dyDescent="0.2">
      <c r="A116" s="7">
        <v>45952</v>
      </c>
      <c r="B116" s="61">
        <v>6</v>
      </c>
      <c r="C116" s="60"/>
      <c r="D116" s="76" t="s">
        <v>149</v>
      </c>
      <c r="E116" s="76" t="s">
        <v>239</v>
      </c>
      <c r="F116" s="21">
        <v>7</v>
      </c>
      <c r="G116" s="27"/>
      <c r="H116" s="5"/>
      <c r="I116" s="5"/>
      <c r="J116" s="29"/>
      <c r="K116" s="29"/>
      <c r="L116" s="29"/>
    </row>
    <row r="117" spans="1:12" ht="16.25" customHeight="1" x14ac:dyDescent="0.2">
      <c r="A117" s="7">
        <v>45953</v>
      </c>
      <c r="B117" s="61">
        <v>1</v>
      </c>
      <c r="C117" s="60"/>
      <c r="D117" s="76" t="s">
        <v>149</v>
      </c>
      <c r="E117" s="76" t="s">
        <v>240</v>
      </c>
      <c r="F117" s="21"/>
      <c r="G117" s="27"/>
      <c r="H117" s="5"/>
      <c r="I117" s="5"/>
      <c r="J117" s="29"/>
      <c r="K117" s="29"/>
      <c r="L117" s="29"/>
    </row>
    <row r="118" spans="1:12" ht="16.25" customHeight="1" x14ac:dyDescent="0.2">
      <c r="A118" s="46">
        <v>45954</v>
      </c>
      <c r="B118" s="66" t="s">
        <v>51</v>
      </c>
      <c r="C118" s="67" t="s">
        <v>69</v>
      </c>
      <c r="D118" s="80"/>
      <c r="E118" s="80"/>
      <c r="F118" s="48"/>
      <c r="G118" s="49"/>
      <c r="H118" s="50"/>
      <c r="I118" s="50"/>
      <c r="J118" s="51"/>
      <c r="K118" s="51"/>
      <c r="L118" s="51"/>
    </row>
    <row r="119" spans="1:12" ht="16.25" customHeight="1" x14ac:dyDescent="0.2">
      <c r="A119" s="10">
        <v>45955</v>
      </c>
      <c r="B119" s="56" t="s">
        <v>20</v>
      </c>
      <c r="C119" s="57"/>
      <c r="D119" s="74"/>
      <c r="E119" s="74"/>
      <c r="F119" s="20"/>
      <c r="G119" s="26"/>
      <c r="H119" s="8"/>
      <c r="I119" s="8"/>
      <c r="J119" s="29"/>
      <c r="K119" s="29"/>
      <c r="L119" s="29"/>
    </row>
    <row r="120" spans="1:12" ht="16.25" customHeight="1" x14ac:dyDescent="0.2">
      <c r="A120" s="10">
        <v>45956</v>
      </c>
      <c r="B120" s="56" t="s">
        <v>20</v>
      </c>
      <c r="C120" s="57"/>
      <c r="D120" s="74"/>
      <c r="E120" s="74"/>
      <c r="F120" s="20"/>
      <c r="G120" s="26"/>
      <c r="H120" s="8"/>
      <c r="I120" s="8"/>
      <c r="J120" s="29"/>
      <c r="K120" s="29"/>
      <c r="L120" s="29"/>
    </row>
    <row r="121" spans="1:12" ht="16.25" customHeight="1" x14ac:dyDescent="0.2">
      <c r="A121" s="7">
        <v>45957</v>
      </c>
      <c r="B121" s="61">
        <v>2</v>
      </c>
      <c r="C121" s="60"/>
      <c r="D121" s="76"/>
      <c r="E121" s="76"/>
      <c r="F121" s="21"/>
      <c r="G121" s="27">
        <f>1+SUM(G112:G118)</f>
        <v>11</v>
      </c>
      <c r="H121" s="5"/>
      <c r="I121" s="5"/>
      <c r="J121" s="29"/>
      <c r="K121" s="29"/>
      <c r="L121" s="29"/>
    </row>
    <row r="122" spans="1:12" ht="16.25" customHeight="1" x14ac:dyDescent="0.2">
      <c r="A122" s="7">
        <v>45958</v>
      </c>
      <c r="B122" s="61">
        <v>3</v>
      </c>
      <c r="C122" s="60"/>
      <c r="D122" s="76" t="s">
        <v>202</v>
      </c>
      <c r="E122" s="76"/>
      <c r="F122" s="21"/>
      <c r="G122" s="27"/>
      <c r="H122" s="5"/>
      <c r="I122" s="5"/>
      <c r="J122" s="29"/>
      <c r="K122" s="29"/>
      <c r="L122" s="29"/>
    </row>
    <row r="123" spans="1:12" ht="16.25" customHeight="1" x14ac:dyDescent="0.2">
      <c r="A123" s="7">
        <v>45959</v>
      </c>
      <c r="B123" s="61">
        <v>4</v>
      </c>
      <c r="C123" s="60"/>
      <c r="D123" s="76"/>
      <c r="E123" s="76"/>
      <c r="F123" s="21"/>
      <c r="G123" s="27"/>
      <c r="H123" s="5"/>
      <c r="I123" s="5"/>
      <c r="J123" s="29"/>
      <c r="K123" s="29"/>
      <c r="L123" s="29"/>
    </row>
    <row r="124" spans="1:12" ht="16.25" customHeight="1" x14ac:dyDescent="0.2">
      <c r="A124" s="7">
        <v>45960</v>
      </c>
      <c r="B124" s="61">
        <v>5</v>
      </c>
      <c r="C124" s="60"/>
      <c r="D124" s="76" t="s">
        <v>241</v>
      </c>
      <c r="E124" s="76" t="s">
        <v>242</v>
      </c>
      <c r="F124" s="21"/>
      <c r="G124" s="27"/>
      <c r="H124" s="5"/>
      <c r="I124" s="5"/>
      <c r="J124" s="29"/>
      <c r="K124" s="29"/>
      <c r="L124" s="29"/>
    </row>
    <row r="125" spans="1:12" ht="16.25" customHeight="1" x14ac:dyDescent="0.2">
      <c r="A125" s="7">
        <v>45961</v>
      </c>
      <c r="B125" s="61">
        <v>6</v>
      </c>
      <c r="C125" s="60"/>
      <c r="D125" s="76"/>
      <c r="E125" s="76"/>
      <c r="F125" s="21">
        <v>8</v>
      </c>
      <c r="G125" s="27"/>
      <c r="H125" s="5"/>
      <c r="I125" s="5"/>
      <c r="J125" s="29"/>
      <c r="K125" s="29"/>
      <c r="L125" s="29"/>
    </row>
    <row r="126" spans="1:12" ht="16.25" customHeight="1" x14ac:dyDescent="0.2">
      <c r="A126" s="10">
        <v>45962</v>
      </c>
      <c r="B126" s="56" t="s">
        <v>20</v>
      </c>
      <c r="C126" s="57"/>
      <c r="D126" s="74"/>
      <c r="E126" s="74"/>
      <c r="F126" s="20"/>
      <c r="G126" s="26"/>
      <c r="H126" s="8"/>
      <c r="I126" s="8"/>
      <c r="J126" s="29"/>
      <c r="K126" s="29"/>
      <c r="L126" s="29"/>
    </row>
    <row r="127" spans="1:12" ht="16.25" customHeight="1" x14ac:dyDescent="0.2">
      <c r="A127" s="10">
        <v>45963</v>
      </c>
      <c r="B127" s="56" t="s">
        <v>20</v>
      </c>
      <c r="C127" s="57"/>
      <c r="D127" s="74"/>
      <c r="E127" s="74"/>
      <c r="F127" s="20"/>
      <c r="G127" s="26"/>
      <c r="H127" s="8"/>
      <c r="I127" s="8"/>
      <c r="J127" s="29"/>
      <c r="K127" s="29"/>
      <c r="L127" s="29"/>
    </row>
    <row r="128" spans="1:12" ht="16.25" customHeight="1" x14ac:dyDescent="0.2">
      <c r="A128" s="10">
        <v>45964</v>
      </c>
      <c r="B128" s="56" t="s">
        <v>17</v>
      </c>
      <c r="C128" s="57"/>
      <c r="D128" s="74"/>
      <c r="E128" s="74"/>
      <c r="F128" s="20"/>
      <c r="G128" s="26"/>
      <c r="H128" s="8"/>
      <c r="I128" s="8"/>
      <c r="J128" s="29"/>
      <c r="K128" s="29"/>
      <c r="L128" s="29"/>
    </row>
    <row r="129" spans="1:12" ht="16.25" customHeight="1" x14ac:dyDescent="0.2">
      <c r="A129" s="7">
        <v>45965</v>
      </c>
      <c r="B129" s="61">
        <v>1</v>
      </c>
      <c r="C129" s="60"/>
      <c r="D129" s="76" t="s">
        <v>243</v>
      </c>
      <c r="E129" s="76"/>
      <c r="F129" s="21"/>
      <c r="G129" s="27">
        <f>1+SUM(G120:G126)</f>
        <v>12</v>
      </c>
      <c r="H129" s="5"/>
      <c r="I129" s="5"/>
      <c r="J129" s="29"/>
      <c r="K129" s="29"/>
      <c r="L129" s="29"/>
    </row>
    <row r="130" spans="1:12" ht="16.25" customHeight="1" x14ac:dyDescent="0.2">
      <c r="A130" s="7">
        <v>45966</v>
      </c>
      <c r="B130" s="61">
        <v>2</v>
      </c>
      <c r="C130" s="60"/>
      <c r="D130" s="76"/>
      <c r="E130" s="76" t="s">
        <v>244</v>
      </c>
      <c r="F130" s="21"/>
      <c r="G130" s="27"/>
      <c r="H130" s="5"/>
      <c r="I130" s="5"/>
      <c r="J130" s="29"/>
      <c r="K130" s="29"/>
      <c r="L130" s="29"/>
    </row>
    <row r="131" spans="1:12" ht="16.25" customHeight="1" x14ac:dyDescent="0.2">
      <c r="A131" s="7">
        <v>45967</v>
      </c>
      <c r="B131" s="61">
        <v>3</v>
      </c>
      <c r="C131" s="60"/>
      <c r="D131" s="76"/>
      <c r="E131" s="76" t="s">
        <v>244</v>
      </c>
      <c r="F131" s="21"/>
      <c r="G131" s="27"/>
      <c r="H131" s="5"/>
      <c r="I131" s="5"/>
      <c r="J131" s="29"/>
      <c r="K131" s="29"/>
      <c r="L131" s="29"/>
    </row>
    <row r="132" spans="1:12" ht="16.25" customHeight="1" x14ac:dyDescent="0.2">
      <c r="A132" s="7">
        <v>45968</v>
      </c>
      <c r="B132" s="61">
        <v>4</v>
      </c>
      <c r="C132" s="60"/>
      <c r="D132" s="76" t="s">
        <v>245</v>
      </c>
      <c r="E132" s="76" t="s">
        <v>244</v>
      </c>
      <c r="F132" s="21"/>
      <c r="G132" s="27"/>
      <c r="H132" s="5"/>
      <c r="I132" s="5"/>
      <c r="J132" s="29"/>
      <c r="K132" s="29"/>
      <c r="L132" s="29"/>
    </row>
    <row r="133" spans="1:12" ht="16.25" customHeight="1" x14ac:dyDescent="0.2">
      <c r="A133" s="10">
        <v>45969</v>
      </c>
      <c r="B133" s="56" t="s">
        <v>20</v>
      </c>
      <c r="C133" s="57"/>
      <c r="D133" s="74"/>
      <c r="E133" s="74"/>
      <c r="F133" s="20"/>
      <c r="G133" s="26"/>
      <c r="H133" s="8"/>
      <c r="I133" s="8"/>
      <c r="J133" s="29"/>
      <c r="K133" s="29"/>
      <c r="L133" s="29"/>
    </row>
    <row r="134" spans="1:12" ht="16.25" customHeight="1" x14ac:dyDescent="0.2">
      <c r="A134" s="10">
        <v>45970</v>
      </c>
      <c r="B134" s="56" t="s">
        <v>20</v>
      </c>
      <c r="C134" s="57"/>
      <c r="D134" s="74"/>
      <c r="E134" s="74"/>
      <c r="F134" s="20"/>
      <c r="G134" s="26"/>
      <c r="H134" s="8"/>
      <c r="I134" s="8"/>
      <c r="J134" s="29"/>
      <c r="K134" s="29"/>
      <c r="L134" s="29"/>
    </row>
    <row r="135" spans="1:12" ht="27" customHeight="1" x14ac:dyDescent="0.2">
      <c r="A135" s="7">
        <v>45971</v>
      </c>
      <c r="B135" s="61">
        <v>5</v>
      </c>
      <c r="C135" s="60"/>
      <c r="D135" s="86" t="s">
        <v>246</v>
      </c>
      <c r="E135" s="76"/>
      <c r="F135" s="21"/>
      <c r="G135" s="27">
        <f>1+SUM(G126:G132)</f>
        <v>13</v>
      </c>
      <c r="H135" s="5"/>
      <c r="I135" s="5"/>
      <c r="J135" s="29"/>
      <c r="K135" s="29"/>
      <c r="L135" s="29"/>
    </row>
    <row r="136" spans="1:12" ht="16.25" customHeight="1" x14ac:dyDescent="0.2">
      <c r="A136" s="7">
        <v>45972</v>
      </c>
      <c r="B136" s="61">
        <v>6</v>
      </c>
      <c r="C136" s="60"/>
      <c r="D136" s="76"/>
      <c r="E136" s="76"/>
      <c r="F136" s="21">
        <v>9</v>
      </c>
      <c r="G136" s="27"/>
      <c r="H136" s="5"/>
      <c r="I136" s="5"/>
      <c r="J136" s="29"/>
      <c r="K136" s="29"/>
      <c r="L136" s="29"/>
    </row>
    <row r="137" spans="1:12" ht="16.25" customHeight="1" x14ac:dyDescent="0.2">
      <c r="A137" s="7">
        <v>45973</v>
      </c>
      <c r="B137" s="61">
        <v>1</v>
      </c>
      <c r="C137" s="60"/>
      <c r="D137" s="76"/>
      <c r="E137" s="76"/>
      <c r="F137" s="21"/>
      <c r="G137" s="27"/>
      <c r="H137" s="5"/>
      <c r="I137" s="5"/>
      <c r="J137" s="29"/>
      <c r="K137" s="29"/>
      <c r="L137" s="29"/>
    </row>
    <row r="138" spans="1:12" ht="16.25" customHeight="1" x14ac:dyDescent="0.2">
      <c r="A138" s="7">
        <v>45974</v>
      </c>
      <c r="B138" s="61">
        <v>2</v>
      </c>
      <c r="C138" s="60"/>
      <c r="D138" s="76"/>
      <c r="E138" s="76"/>
      <c r="F138" s="21"/>
      <c r="G138" s="27"/>
      <c r="H138" s="5"/>
      <c r="I138" s="5"/>
      <c r="J138" s="29"/>
      <c r="K138" s="29"/>
      <c r="L138" s="29"/>
    </row>
    <row r="139" spans="1:12" ht="16.25" customHeight="1" x14ac:dyDescent="0.2">
      <c r="A139" s="7">
        <v>45975</v>
      </c>
      <c r="B139" s="61">
        <v>3</v>
      </c>
      <c r="C139" s="60"/>
      <c r="D139" s="76"/>
      <c r="E139" s="76"/>
      <c r="F139" s="21"/>
      <c r="G139" s="27"/>
      <c r="H139" s="5"/>
      <c r="I139" s="5"/>
      <c r="J139" s="29" t="s">
        <v>65</v>
      </c>
      <c r="K139" s="29"/>
      <c r="L139" s="29"/>
    </row>
    <row r="140" spans="1:12" ht="16.25" customHeight="1" x14ac:dyDescent="0.2">
      <c r="A140" s="10">
        <v>45976</v>
      </c>
      <c r="B140" s="56" t="s">
        <v>20</v>
      </c>
      <c r="C140" s="57"/>
      <c r="D140" s="74"/>
      <c r="E140" s="74"/>
      <c r="F140" s="20"/>
      <c r="G140" s="26"/>
      <c r="H140" s="8"/>
      <c r="I140" s="8"/>
      <c r="J140" s="29"/>
      <c r="K140" s="29"/>
      <c r="L140" s="29"/>
    </row>
    <row r="141" spans="1:12" ht="16.25" customHeight="1" x14ac:dyDescent="0.2">
      <c r="A141" s="10">
        <v>45977</v>
      </c>
      <c r="B141" s="56" t="s">
        <v>20</v>
      </c>
      <c r="C141" s="57"/>
      <c r="D141" s="74"/>
      <c r="E141" s="74"/>
      <c r="F141" s="20"/>
      <c r="G141" s="26"/>
      <c r="H141" s="8"/>
      <c r="I141" s="8"/>
      <c r="J141" s="29"/>
      <c r="K141" s="29"/>
      <c r="L141" s="29"/>
    </row>
    <row r="142" spans="1:12" ht="16.25" customHeight="1" x14ac:dyDescent="0.2">
      <c r="A142" s="10">
        <v>45978</v>
      </c>
      <c r="B142" s="56" t="s">
        <v>17</v>
      </c>
      <c r="C142" s="57"/>
      <c r="D142" s="74"/>
      <c r="E142" s="74"/>
      <c r="F142" s="20"/>
      <c r="G142" s="26"/>
      <c r="H142" s="8"/>
      <c r="I142" s="8"/>
      <c r="J142" s="29"/>
      <c r="K142" s="29"/>
      <c r="L142" s="29"/>
    </row>
    <row r="143" spans="1:12" ht="16.25" customHeight="1" x14ac:dyDescent="0.2">
      <c r="A143" s="7">
        <v>45979</v>
      </c>
      <c r="B143" s="61">
        <v>4</v>
      </c>
      <c r="C143" s="60"/>
      <c r="D143" s="76" t="s">
        <v>247</v>
      </c>
      <c r="E143" s="76" t="s">
        <v>248</v>
      </c>
      <c r="F143" s="21"/>
      <c r="G143" s="27">
        <f>1+SUM(G134:G140)</f>
        <v>14</v>
      </c>
      <c r="H143" s="5"/>
      <c r="I143" s="5"/>
      <c r="J143" s="29"/>
      <c r="K143" s="29"/>
      <c r="L143" s="29"/>
    </row>
    <row r="144" spans="1:12" ht="16.25" customHeight="1" x14ac:dyDescent="0.2">
      <c r="A144" s="7">
        <v>45980</v>
      </c>
      <c r="B144" s="61">
        <v>5</v>
      </c>
      <c r="C144" s="60"/>
      <c r="D144" s="76" t="s">
        <v>249</v>
      </c>
      <c r="E144" s="76"/>
      <c r="F144" s="21"/>
      <c r="G144" s="27"/>
      <c r="H144" s="5"/>
      <c r="I144" s="5"/>
      <c r="J144" s="29"/>
      <c r="K144" s="29"/>
      <c r="L144" s="29"/>
    </row>
    <row r="145" spans="1:12" ht="16.25" customHeight="1" x14ac:dyDescent="0.2">
      <c r="A145" s="7">
        <v>45981</v>
      </c>
      <c r="B145" s="61">
        <v>6</v>
      </c>
      <c r="C145" s="60"/>
      <c r="D145" s="76" t="s">
        <v>250</v>
      </c>
      <c r="E145" s="76"/>
      <c r="F145" s="21">
        <v>10</v>
      </c>
      <c r="G145" s="27"/>
      <c r="H145" s="5"/>
      <c r="I145" s="5"/>
      <c r="J145" s="29"/>
      <c r="K145" s="29"/>
      <c r="L145" s="29"/>
    </row>
    <row r="146" spans="1:12" ht="16.25" customHeight="1" x14ac:dyDescent="0.2">
      <c r="A146" s="7">
        <v>45982</v>
      </c>
      <c r="B146" s="61">
        <v>1</v>
      </c>
      <c r="C146" s="60"/>
      <c r="D146" s="76" t="s">
        <v>251</v>
      </c>
      <c r="E146" s="76" t="s">
        <v>252</v>
      </c>
      <c r="F146" s="21"/>
      <c r="G146" s="27"/>
      <c r="H146" s="5"/>
      <c r="I146" s="5"/>
      <c r="J146" s="29"/>
      <c r="K146" s="29"/>
      <c r="L146" s="29"/>
    </row>
    <row r="147" spans="1:12" ht="16.25" customHeight="1" x14ac:dyDescent="0.2">
      <c r="A147" s="10">
        <v>45983</v>
      </c>
      <c r="B147" s="56" t="s">
        <v>20</v>
      </c>
      <c r="C147" s="57"/>
      <c r="D147" s="74" t="s">
        <v>251</v>
      </c>
      <c r="E147" s="74" t="s">
        <v>252</v>
      </c>
      <c r="F147" s="20"/>
      <c r="G147" s="26"/>
      <c r="H147" s="8"/>
      <c r="I147" s="8"/>
      <c r="J147" s="29"/>
      <c r="K147" s="29"/>
      <c r="L147" s="29"/>
    </row>
    <row r="148" spans="1:12" ht="16.25" customHeight="1" x14ac:dyDescent="0.2">
      <c r="A148" s="10">
        <v>45984</v>
      </c>
      <c r="B148" s="56" t="s">
        <v>20</v>
      </c>
      <c r="C148" s="57"/>
      <c r="D148" s="74"/>
      <c r="E148" s="74"/>
      <c r="F148" s="20"/>
      <c r="G148" s="26"/>
      <c r="H148" s="8"/>
      <c r="I148" s="8"/>
      <c r="J148" s="29"/>
      <c r="K148" s="29"/>
      <c r="L148" s="29"/>
    </row>
    <row r="149" spans="1:12" ht="16.25" customHeight="1" x14ac:dyDescent="0.2">
      <c r="A149" s="7">
        <v>45985</v>
      </c>
      <c r="B149" s="61">
        <v>2</v>
      </c>
      <c r="C149" s="60"/>
      <c r="D149" s="76"/>
      <c r="E149" s="76"/>
      <c r="F149" s="21"/>
      <c r="G149" s="27">
        <f>1+SUM(G140:G146)</f>
        <v>15</v>
      </c>
      <c r="H149" s="5"/>
      <c r="I149" s="5"/>
      <c r="J149" s="29"/>
      <c r="K149" s="29"/>
      <c r="L149" s="29"/>
    </row>
    <row r="150" spans="1:12" ht="16.25" customHeight="1" x14ac:dyDescent="0.2">
      <c r="A150" s="7">
        <v>45986</v>
      </c>
      <c r="B150" s="61">
        <v>3</v>
      </c>
      <c r="C150" s="60"/>
      <c r="D150" s="76"/>
      <c r="E150" s="76"/>
      <c r="F150" s="21"/>
      <c r="G150" s="27"/>
      <c r="H150" s="5"/>
      <c r="I150" s="5"/>
      <c r="J150" s="29"/>
      <c r="K150" s="29"/>
      <c r="L150" s="29"/>
    </row>
    <row r="151" spans="1:12" ht="16.25" customHeight="1" x14ac:dyDescent="0.2">
      <c r="A151" s="7">
        <v>45987</v>
      </c>
      <c r="B151" s="61">
        <v>4</v>
      </c>
      <c r="C151" s="60"/>
      <c r="D151" s="76" t="s">
        <v>253</v>
      </c>
      <c r="E151" s="76"/>
      <c r="F151" s="21"/>
      <c r="G151" s="27"/>
      <c r="H151" s="5"/>
      <c r="I151" s="5"/>
      <c r="J151" s="29"/>
      <c r="K151" s="29"/>
      <c r="L151" s="29"/>
    </row>
    <row r="152" spans="1:12" ht="16.25" customHeight="1" x14ac:dyDescent="0.2">
      <c r="A152" s="7">
        <v>45988</v>
      </c>
      <c r="B152" s="61">
        <v>5</v>
      </c>
      <c r="C152" s="60"/>
      <c r="D152" s="81"/>
      <c r="E152" s="76"/>
      <c r="F152" s="21"/>
      <c r="G152" s="27"/>
      <c r="H152" s="5"/>
      <c r="I152" s="5"/>
      <c r="J152" s="29"/>
      <c r="K152" s="29"/>
      <c r="L152" s="29"/>
    </row>
    <row r="153" spans="1:12" ht="16.25" customHeight="1" x14ac:dyDescent="0.2">
      <c r="A153" s="7">
        <v>45989</v>
      </c>
      <c r="B153" s="58" t="s">
        <v>51</v>
      </c>
      <c r="C153" s="60" t="s">
        <v>162</v>
      </c>
      <c r="D153" s="76"/>
      <c r="E153" s="76"/>
      <c r="F153" s="21"/>
      <c r="G153" s="27"/>
      <c r="H153" s="5"/>
      <c r="I153" s="5"/>
      <c r="J153" s="29"/>
      <c r="K153" s="29"/>
      <c r="L153" s="29"/>
    </row>
    <row r="154" spans="1:12" ht="16.25" customHeight="1" x14ac:dyDescent="0.2">
      <c r="A154" s="10">
        <v>45990</v>
      </c>
      <c r="B154" s="56" t="s">
        <v>20</v>
      </c>
      <c r="C154" s="57"/>
      <c r="D154" s="74"/>
      <c r="E154" s="74"/>
      <c r="F154" s="20"/>
      <c r="G154" s="26"/>
      <c r="H154" s="8"/>
      <c r="I154" s="8"/>
      <c r="J154" s="29"/>
      <c r="K154" s="29"/>
      <c r="L154" s="29"/>
    </row>
    <row r="155" spans="1:12" ht="16.25" customHeight="1" x14ac:dyDescent="0.2">
      <c r="A155" s="10">
        <v>45991</v>
      </c>
      <c r="B155" s="56" t="s">
        <v>20</v>
      </c>
      <c r="C155" s="57"/>
      <c r="D155" s="74"/>
      <c r="E155" s="74"/>
      <c r="F155" s="20"/>
      <c r="G155" s="26"/>
      <c r="H155" s="8"/>
      <c r="I155" s="8"/>
      <c r="J155" s="29"/>
      <c r="K155" s="29"/>
      <c r="L155" s="29"/>
    </row>
    <row r="156" spans="1:12" ht="16.25" customHeight="1" x14ac:dyDescent="0.2">
      <c r="A156" s="7">
        <v>45992</v>
      </c>
      <c r="B156" s="61">
        <v>6</v>
      </c>
      <c r="C156" s="60"/>
      <c r="D156" s="76"/>
      <c r="E156" s="76"/>
      <c r="F156" s="21">
        <v>11</v>
      </c>
      <c r="G156" s="27">
        <f>1+SUM(G147:G153)</f>
        <v>16</v>
      </c>
      <c r="H156" s="5"/>
      <c r="I156" s="5"/>
      <c r="J156" s="29"/>
      <c r="K156" s="29"/>
      <c r="L156" s="29"/>
    </row>
    <row r="157" spans="1:12" ht="16.25" customHeight="1" x14ac:dyDescent="0.2">
      <c r="A157" s="7">
        <v>45993</v>
      </c>
      <c r="B157" s="61">
        <v>1</v>
      </c>
      <c r="C157" s="60"/>
      <c r="D157" s="76" t="s">
        <v>254</v>
      </c>
      <c r="E157" s="76"/>
      <c r="F157" s="21"/>
      <c r="G157" s="27"/>
      <c r="H157" s="5"/>
      <c r="I157" s="5"/>
      <c r="J157" s="29"/>
      <c r="K157" s="29"/>
      <c r="L157" s="29"/>
    </row>
    <row r="158" spans="1:12" ht="16.25" customHeight="1" x14ac:dyDescent="0.2">
      <c r="A158" s="7">
        <v>45994</v>
      </c>
      <c r="B158" s="61">
        <v>2</v>
      </c>
      <c r="C158" s="60" t="s">
        <v>77</v>
      </c>
      <c r="D158" s="76"/>
      <c r="E158" s="76"/>
      <c r="F158" s="21"/>
      <c r="G158" s="27"/>
      <c r="H158" s="5"/>
      <c r="I158" s="5"/>
      <c r="J158" s="29"/>
      <c r="K158" s="29"/>
      <c r="L158" s="29"/>
    </row>
    <row r="159" spans="1:12" ht="16.25" customHeight="1" x14ac:dyDescent="0.2">
      <c r="A159" s="7">
        <v>45995</v>
      </c>
      <c r="B159" s="61">
        <v>3</v>
      </c>
      <c r="C159" s="60" t="s">
        <v>77</v>
      </c>
      <c r="D159" s="76"/>
      <c r="E159" s="76"/>
      <c r="F159" s="21"/>
      <c r="G159" s="27"/>
      <c r="H159" s="5"/>
      <c r="I159" s="5"/>
      <c r="J159" s="29"/>
      <c r="K159" s="29"/>
      <c r="L159" s="29"/>
    </row>
    <row r="160" spans="1:12" ht="16.25" customHeight="1" x14ac:dyDescent="0.2">
      <c r="A160" s="7">
        <v>45996</v>
      </c>
      <c r="B160" s="61">
        <v>4</v>
      </c>
      <c r="C160" s="60" t="s">
        <v>77</v>
      </c>
      <c r="D160" s="76"/>
      <c r="E160" s="76"/>
      <c r="F160" s="21"/>
      <c r="G160" s="27"/>
      <c r="H160" s="5"/>
      <c r="I160" s="5"/>
      <c r="J160" s="29"/>
      <c r="K160" s="29"/>
      <c r="L160" s="29"/>
    </row>
    <row r="161" spans="1:12" ht="16.25" customHeight="1" x14ac:dyDescent="0.2">
      <c r="A161" s="10">
        <v>45997</v>
      </c>
      <c r="B161" s="56" t="s">
        <v>20</v>
      </c>
      <c r="C161" s="57"/>
      <c r="D161" s="74"/>
      <c r="E161" s="74"/>
      <c r="F161" s="20"/>
      <c r="G161" s="26"/>
      <c r="H161" s="8"/>
      <c r="I161" s="8"/>
      <c r="J161" s="29"/>
      <c r="K161" s="29"/>
      <c r="L161" s="29"/>
    </row>
    <row r="162" spans="1:12" ht="16.25" customHeight="1" x14ac:dyDescent="0.2">
      <c r="A162" s="10">
        <v>45998</v>
      </c>
      <c r="B162" s="56" t="s">
        <v>20</v>
      </c>
      <c r="C162" s="57"/>
      <c r="D162" s="74"/>
      <c r="E162" s="74"/>
      <c r="F162" s="20"/>
      <c r="G162" s="26"/>
      <c r="H162" s="8"/>
      <c r="I162" s="8"/>
      <c r="J162" s="29"/>
      <c r="K162" s="29"/>
      <c r="L162" s="29"/>
    </row>
    <row r="163" spans="1:12" ht="16.25" customHeight="1" x14ac:dyDescent="0.2">
      <c r="A163" s="10">
        <v>45999</v>
      </c>
      <c r="B163" s="56" t="s">
        <v>17</v>
      </c>
      <c r="C163" s="57"/>
      <c r="D163" s="74"/>
      <c r="E163" s="74"/>
      <c r="F163" s="20"/>
      <c r="G163" s="26"/>
      <c r="H163" s="8"/>
      <c r="I163" s="8"/>
      <c r="J163" s="29"/>
      <c r="K163" s="29"/>
      <c r="L163" s="29"/>
    </row>
    <row r="164" spans="1:12" ht="16.25" customHeight="1" x14ac:dyDescent="0.2">
      <c r="A164" s="7">
        <v>46000</v>
      </c>
      <c r="B164" s="61">
        <v>5</v>
      </c>
      <c r="C164" s="60" t="s">
        <v>77</v>
      </c>
      <c r="D164" s="76"/>
      <c r="E164" s="76"/>
      <c r="F164" s="21"/>
      <c r="G164" s="27">
        <f>1+SUM(G155:G161)</f>
        <v>17</v>
      </c>
      <c r="H164" s="5"/>
      <c r="I164" s="5"/>
      <c r="J164" s="29"/>
      <c r="K164" s="29"/>
      <c r="L164" s="29"/>
    </row>
    <row r="165" spans="1:12" ht="16.25" customHeight="1" x14ac:dyDescent="0.2">
      <c r="A165" s="7">
        <v>46001</v>
      </c>
      <c r="B165" s="61">
        <v>6</v>
      </c>
      <c r="C165" s="60" t="s">
        <v>77</v>
      </c>
      <c r="D165" s="76"/>
      <c r="E165" s="76"/>
      <c r="F165" s="21">
        <v>12</v>
      </c>
      <c r="G165" s="27"/>
      <c r="H165" s="5"/>
      <c r="I165" s="5"/>
      <c r="J165" s="29"/>
      <c r="K165" s="29"/>
      <c r="L165" s="29"/>
    </row>
    <row r="166" spans="1:12" ht="16.25" customHeight="1" x14ac:dyDescent="0.2">
      <c r="A166" s="7">
        <v>46002</v>
      </c>
      <c r="B166" s="61">
        <v>1</v>
      </c>
      <c r="C166" s="60" t="s">
        <v>77</v>
      </c>
      <c r="D166" s="76"/>
      <c r="E166" s="76"/>
      <c r="F166" s="21"/>
      <c r="G166" s="27"/>
      <c r="H166" s="5"/>
      <c r="I166" s="5"/>
      <c r="J166" s="29"/>
      <c r="K166" s="29" t="s">
        <v>79</v>
      </c>
      <c r="L166" s="29"/>
    </row>
    <row r="167" spans="1:12" ht="16.25" customHeight="1" x14ac:dyDescent="0.2">
      <c r="A167" s="7">
        <v>46003</v>
      </c>
      <c r="B167" s="61">
        <v>2</v>
      </c>
      <c r="C167" s="60" t="s">
        <v>77</v>
      </c>
      <c r="D167" s="76" t="s">
        <v>255</v>
      </c>
      <c r="E167" s="76"/>
      <c r="F167" s="21"/>
      <c r="G167" s="27"/>
      <c r="H167" s="5"/>
      <c r="I167" s="5"/>
      <c r="J167" s="29"/>
      <c r="K167" s="29" t="s">
        <v>80</v>
      </c>
      <c r="L167" s="29"/>
    </row>
    <row r="168" spans="1:12" ht="16.25" customHeight="1" x14ac:dyDescent="0.2">
      <c r="A168" s="10">
        <v>46004</v>
      </c>
      <c r="B168" s="56" t="s">
        <v>20</v>
      </c>
      <c r="C168" s="57"/>
      <c r="D168" s="74"/>
      <c r="E168" s="74"/>
      <c r="F168" s="20"/>
      <c r="G168" s="26"/>
      <c r="H168" s="8"/>
      <c r="I168" s="8"/>
      <c r="J168" s="29" t="s">
        <v>81</v>
      </c>
      <c r="K168" s="29" t="s">
        <v>81</v>
      </c>
      <c r="L168" s="29" t="s">
        <v>81</v>
      </c>
    </row>
    <row r="169" spans="1:12" ht="16.25" customHeight="1" x14ac:dyDescent="0.2">
      <c r="A169" s="10">
        <v>46005</v>
      </c>
      <c r="B169" s="56" t="s">
        <v>20</v>
      </c>
      <c r="C169" s="57"/>
      <c r="D169" s="74"/>
      <c r="E169" s="74"/>
      <c r="F169" s="20"/>
      <c r="G169" s="26"/>
      <c r="H169" s="8"/>
      <c r="I169" s="8"/>
      <c r="J169" s="29" t="s">
        <v>81</v>
      </c>
      <c r="K169" s="29" t="s">
        <v>81</v>
      </c>
      <c r="L169" s="29" t="s">
        <v>81</v>
      </c>
    </row>
    <row r="170" spans="1:12" ht="16.25" customHeight="1" x14ac:dyDescent="0.2">
      <c r="A170" s="7">
        <v>46006</v>
      </c>
      <c r="B170" s="58" t="s">
        <v>51</v>
      </c>
      <c r="C170" s="60" t="s">
        <v>82</v>
      </c>
      <c r="D170" s="76" t="s">
        <v>256</v>
      </c>
      <c r="E170" s="76" t="s">
        <v>257</v>
      </c>
      <c r="F170" s="21"/>
      <c r="G170" s="27">
        <f>1+SUM(G161:G167)</f>
        <v>18</v>
      </c>
      <c r="H170" s="5"/>
      <c r="I170" s="5"/>
      <c r="J170" s="29" t="s">
        <v>81</v>
      </c>
      <c r="K170" s="29" t="s">
        <v>81</v>
      </c>
      <c r="L170" s="29" t="s">
        <v>81</v>
      </c>
    </row>
    <row r="171" spans="1:12" ht="16.25" customHeight="1" x14ac:dyDescent="0.2">
      <c r="A171" s="37">
        <v>46007</v>
      </c>
      <c r="B171" s="68" t="s">
        <v>51</v>
      </c>
      <c r="C171" s="63" t="s">
        <v>83</v>
      </c>
      <c r="D171" s="78"/>
      <c r="E171" s="78"/>
      <c r="F171" s="40"/>
      <c r="G171" s="41"/>
      <c r="H171" s="42"/>
      <c r="I171" s="42"/>
      <c r="J171" s="43" t="s">
        <v>81</v>
      </c>
      <c r="K171" s="43" t="s">
        <v>81</v>
      </c>
      <c r="L171" s="43" t="s">
        <v>81</v>
      </c>
    </row>
    <row r="172" spans="1:12" ht="16.25" customHeight="1" x14ac:dyDescent="0.2">
      <c r="A172" s="10">
        <v>46008</v>
      </c>
      <c r="B172" s="56" t="s">
        <v>84</v>
      </c>
      <c r="C172" s="57"/>
      <c r="D172" s="74"/>
      <c r="E172" s="74"/>
      <c r="F172" s="20"/>
      <c r="G172" s="26"/>
      <c r="H172" s="8"/>
      <c r="I172" s="8"/>
      <c r="J172" s="29" t="s">
        <v>81</v>
      </c>
      <c r="K172" s="29" t="s">
        <v>81</v>
      </c>
      <c r="L172" s="29" t="s">
        <v>81</v>
      </c>
    </row>
    <row r="173" spans="1:12" ht="16.25" customHeight="1" x14ac:dyDescent="0.2">
      <c r="A173" s="10">
        <v>46009</v>
      </c>
      <c r="B173" s="56" t="s">
        <v>84</v>
      </c>
      <c r="C173" s="57"/>
      <c r="D173" s="74"/>
      <c r="E173" s="74"/>
      <c r="F173" s="20"/>
      <c r="G173" s="26"/>
      <c r="H173" s="8"/>
      <c r="I173" s="8"/>
      <c r="J173" s="29" t="s">
        <v>81</v>
      </c>
      <c r="K173" s="29" t="s">
        <v>81</v>
      </c>
      <c r="L173" s="29" t="s">
        <v>81</v>
      </c>
    </row>
    <row r="174" spans="1:12" ht="16.25" customHeight="1" x14ac:dyDescent="0.2">
      <c r="A174" s="10">
        <v>46010</v>
      </c>
      <c r="B174" s="56" t="s">
        <v>84</v>
      </c>
      <c r="C174" s="57"/>
      <c r="D174" s="74"/>
      <c r="E174" s="74"/>
      <c r="F174" s="20"/>
      <c r="G174" s="26"/>
      <c r="H174" s="8"/>
      <c r="I174" s="8"/>
      <c r="J174" s="29" t="s">
        <v>81</v>
      </c>
      <c r="K174" s="29" t="s">
        <v>81</v>
      </c>
      <c r="L174" s="29" t="s">
        <v>81</v>
      </c>
    </row>
    <row r="175" spans="1:12" ht="16.25" customHeight="1" x14ac:dyDescent="0.2">
      <c r="A175" s="10">
        <v>46011</v>
      </c>
      <c r="B175" s="56" t="s">
        <v>20</v>
      </c>
      <c r="C175" s="57"/>
      <c r="D175" s="74"/>
      <c r="E175" s="74"/>
      <c r="F175" s="20"/>
      <c r="G175" s="26"/>
      <c r="H175" s="8"/>
      <c r="I175" s="8"/>
      <c r="J175" s="29" t="s">
        <v>81</v>
      </c>
      <c r="K175" s="29" t="s">
        <v>81</v>
      </c>
      <c r="L175" s="29" t="s">
        <v>81</v>
      </c>
    </row>
    <row r="176" spans="1:12" ht="16.25" customHeight="1" x14ac:dyDescent="0.2">
      <c r="A176" s="10">
        <v>46012</v>
      </c>
      <c r="B176" s="56" t="s">
        <v>20</v>
      </c>
      <c r="C176" s="57"/>
      <c r="D176" s="74"/>
      <c r="E176" s="74"/>
      <c r="F176" s="20"/>
      <c r="G176" s="26"/>
      <c r="H176" s="8"/>
      <c r="I176" s="8"/>
      <c r="J176" s="29" t="s">
        <v>81</v>
      </c>
      <c r="K176" s="29" t="s">
        <v>81</v>
      </c>
      <c r="L176" s="29" t="s">
        <v>81</v>
      </c>
    </row>
    <row r="177" spans="1:12" ht="16.25" customHeight="1" x14ac:dyDescent="0.2">
      <c r="A177" s="10">
        <v>46013</v>
      </c>
      <c r="B177" s="56" t="s">
        <v>84</v>
      </c>
      <c r="C177" s="57"/>
      <c r="D177" s="74"/>
      <c r="E177" s="74"/>
      <c r="F177" s="20"/>
      <c r="G177" s="26"/>
      <c r="H177" s="8"/>
      <c r="I177" s="8"/>
      <c r="J177" s="29" t="s">
        <v>81</v>
      </c>
      <c r="K177" s="29" t="s">
        <v>81</v>
      </c>
      <c r="L177" s="29" t="s">
        <v>81</v>
      </c>
    </row>
    <row r="178" spans="1:12" ht="16.25" customHeight="1" x14ac:dyDescent="0.2">
      <c r="A178" s="10">
        <v>46014</v>
      </c>
      <c r="B178" s="56" t="s">
        <v>84</v>
      </c>
      <c r="C178" s="57"/>
      <c r="D178" s="74"/>
      <c r="E178" s="74"/>
      <c r="F178" s="20"/>
      <c r="G178" s="26"/>
      <c r="H178" s="8"/>
      <c r="I178" s="8"/>
      <c r="J178" s="29" t="s">
        <v>81</v>
      </c>
      <c r="K178" s="29" t="s">
        <v>81</v>
      </c>
      <c r="L178" s="29" t="s">
        <v>81</v>
      </c>
    </row>
    <row r="179" spans="1:12" ht="16.25" customHeight="1" x14ac:dyDescent="0.2">
      <c r="A179" s="10">
        <v>46015</v>
      </c>
      <c r="B179" s="56" t="s">
        <v>84</v>
      </c>
      <c r="C179" s="57"/>
      <c r="D179" s="74"/>
      <c r="E179" s="74"/>
      <c r="F179" s="20"/>
      <c r="G179" s="26"/>
      <c r="H179" s="8"/>
      <c r="I179" s="8"/>
      <c r="J179" s="29" t="s">
        <v>81</v>
      </c>
      <c r="K179" s="29" t="s">
        <v>81</v>
      </c>
      <c r="L179" s="29" t="s">
        <v>81</v>
      </c>
    </row>
    <row r="180" spans="1:12" ht="16.25" customHeight="1" x14ac:dyDescent="0.2">
      <c r="A180" s="10">
        <v>46016</v>
      </c>
      <c r="B180" s="56" t="s">
        <v>17</v>
      </c>
      <c r="C180" s="57"/>
      <c r="D180" s="74"/>
      <c r="E180" s="74"/>
      <c r="F180" s="20"/>
      <c r="G180" s="26"/>
      <c r="H180" s="8"/>
      <c r="I180" s="8"/>
      <c r="J180" s="29" t="s">
        <v>81</v>
      </c>
      <c r="K180" s="29" t="s">
        <v>81</v>
      </c>
      <c r="L180" s="29" t="s">
        <v>81</v>
      </c>
    </row>
    <row r="181" spans="1:12" ht="16.25" customHeight="1" x14ac:dyDescent="0.2">
      <c r="A181" s="10">
        <v>46017</v>
      </c>
      <c r="B181" s="56" t="s">
        <v>84</v>
      </c>
      <c r="C181" s="57"/>
      <c r="D181" s="74"/>
      <c r="E181" s="74"/>
      <c r="F181" s="20"/>
      <c r="G181" s="26"/>
      <c r="H181" s="8"/>
      <c r="I181" s="8"/>
      <c r="J181" s="29" t="s">
        <v>81</v>
      </c>
      <c r="K181" s="29" t="s">
        <v>81</v>
      </c>
      <c r="L181" s="29" t="s">
        <v>81</v>
      </c>
    </row>
    <row r="182" spans="1:12" ht="16.25" customHeight="1" x14ac:dyDescent="0.2">
      <c r="A182" s="10">
        <v>46018</v>
      </c>
      <c r="B182" s="56" t="s">
        <v>20</v>
      </c>
      <c r="C182" s="57"/>
      <c r="D182" s="74"/>
      <c r="E182" s="74"/>
      <c r="F182" s="20"/>
      <c r="G182" s="26"/>
      <c r="H182" s="8"/>
      <c r="I182" s="8"/>
      <c r="J182" s="29" t="s">
        <v>81</v>
      </c>
      <c r="K182" s="29" t="s">
        <v>81</v>
      </c>
      <c r="L182" s="29" t="s">
        <v>81</v>
      </c>
    </row>
    <row r="183" spans="1:12" ht="16.25" customHeight="1" x14ac:dyDescent="0.2">
      <c r="A183" s="10">
        <v>46019</v>
      </c>
      <c r="B183" s="56" t="s">
        <v>20</v>
      </c>
      <c r="C183" s="57"/>
      <c r="D183" s="74"/>
      <c r="E183" s="74"/>
      <c r="F183" s="20"/>
      <c r="G183" s="26"/>
      <c r="H183" s="8"/>
      <c r="I183" s="8"/>
      <c r="J183" s="29" t="s">
        <v>81</v>
      </c>
      <c r="K183" s="29" t="s">
        <v>81</v>
      </c>
      <c r="L183" s="29" t="s">
        <v>81</v>
      </c>
    </row>
    <row r="184" spans="1:12" ht="16.25" customHeight="1" x14ac:dyDescent="0.2">
      <c r="A184" s="10">
        <v>46020</v>
      </c>
      <c r="B184" s="56" t="s">
        <v>84</v>
      </c>
      <c r="C184" s="57"/>
      <c r="D184" s="74"/>
      <c r="E184" s="74"/>
      <c r="F184" s="20"/>
      <c r="G184" s="26"/>
      <c r="H184" s="8"/>
      <c r="I184" s="8"/>
      <c r="J184" s="29" t="s">
        <v>81</v>
      </c>
      <c r="K184" s="29" t="s">
        <v>81</v>
      </c>
      <c r="L184" s="29" t="s">
        <v>81</v>
      </c>
    </row>
    <row r="185" spans="1:12" ht="16.25" customHeight="1" x14ac:dyDescent="0.2">
      <c r="A185" s="10">
        <v>46021</v>
      </c>
      <c r="B185" s="56" t="s">
        <v>84</v>
      </c>
      <c r="C185" s="57"/>
      <c r="D185" s="74"/>
      <c r="E185" s="74"/>
      <c r="F185" s="20"/>
      <c r="G185" s="26"/>
      <c r="H185" s="8"/>
      <c r="I185" s="8"/>
      <c r="J185" s="29" t="s">
        <v>81</v>
      </c>
      <c r="K185" s="29" t="s">
        <v>81</v>
      </c>
      <c r="L185" s="29" t="s">
        <v>81</v>
      </c>
    </row>
    <row r="186" spans="1:12" ht="16.25" customHeight="1" x14ac:dyDescent="0.2">
      <c r="A186" s="10">
        <v>46022</v>
      </c>
      <c r="B186" s="56" t="s">
        <v>84</v>
      </c>
      <c r="C186" s="57"/>
      <c r="D186" s="74"/>
      <c r="E186" s="74"/>
      <c r="F186" s="20"/>
      <c r="G186" s="26"/>
      <c r="H186" s="8"/>
      <c r="I186" s="8"/>
      <c r="J186" s="29" t="s">
        <v>81</v>
      </c>
      <c r="K186" s="29" t="s">
        <v>81</v>
      </c>
      <c r="L186" s="29" t="s">
        <v>81</v>
      </c>
    </row>
    <row r="187" spans="1:12" ht="16.25" customHeight="1" x14ac:dyDescent="0.2">
      <c r="A187" s="10">
        <v>46023</v>
      </c>
      <c r="B187" s="56" t="s">
        <v>17</v>
      </c>
      <c r="C187" s="57"/>
      <c r="D187" s="74"/>
      <c r="E187" s="74"/>
      <c r="F187" s="20"/>
      <c r="G187" s="26"/>
      <c r="H187" s="8"/>
      <c r="I187" s="8"/>
      <c r="J187" s="29" t="s">
        <v>81</v>
      </c>
      <c r="K187" s="29" t="s">
        <v>81</v>
      </c>
      <c r="L187" s="29" t="s">
        <v>81</v>
      </c>
    </row>
    <row r="188" spans="1:12" ht="16.25" customHeight="1" x14ac:dyDescent="0.2">
      <c r="A188" s="10">
        <v>46024</v>
      </c>
      <c r="B188" s="56" t="s">
        <v>84</v>
      </c>
      <c r="C188" s="57"/>
      <c r="D188" s="74"/>
      <c r="E188" s="74"/>
      <c r="F188" s="20"/>
      <c r="G188" s="26"/>
      <c r="H188" s="8"/>
      <c r="I188" s="8"/>
      <c r="J188" s="29" t="s">
        <v>81</v>
      </c>
      <c r="K188" s="29" t="s">
        <v>81</v>
      </c>
      <c r="L188" s="29" t="s">
        <v>81</v>
      </c>
    </row>
    <row r="189" spans="1:12" ht="16.25" customHeight="1" x14ac:dyDescent="0.2">
      <c r="A189" s="10">
        <v>46025</v>
      </c>
      <c r="B189" s="56" t="s">
        <v>20</v>
      </c>
      <c r="C189" s="57"/>
      <c r="D189" s="74"/>
      <c r="E189" s="74"/>
      <c r="F189" s="20"/>
      <c r="G189" s="26"/>
      <c r="H189" s="8"/>
      <c r="I189" s="8"/>
      <c r="J189" s="29" t="s">
        <v>81</v>
      </c>
      <c r="K189" s="29" t="s">
        <v>81</v>
      </c>
      <c r="L189" s="29" t="s">
        <v>81</v>
      </c>
    </row>
    <row r="190" spans="1:12" ht="16.25" customHeight="1" x14ac:dyDescent="0.2">
      <c r="A190" s="10">
        <v>46026</v>
      </c>
      <c r="B190" s="56" t="s">
        <v>20</v>
      </c>
      <c r="C190" s="57"/>
      <c r="D190" s="74"/>
      <c r="E190" s="74"/>
      <c r="F190" s="20"/>
      <c r="G190" s="26"/>
      <c r="H190" s="8"/>
      <c r="I190" s="8"/>
      <c r="J190" s="29" t="s">
        <v>81</v>
      </c>
      <c r="K190" s="29" t="s">
        <v>81</v>
      </c>
      <c r="L190" s="29" t="s">
        <v>81</v>
      </c>
    </row>
    <row r="191" spans="1:12" ht="16.25" customHeight="1" x14ac:dyDescent="0.2">
      <c r="A191" s="10">
        <v>46027</v>
      </c>
      <c r="B191" s="56" t="s">
        <v>84</v>
      </c>
      <c r="C191" s="57"/>
      <c r="D191" s="74"/>
      <c r="E191" s="74"/>
      <c r="F191" s="20"/>
      <c r="G191" s="26"/>
      <c r="H191" s="8"/>
      <c r="I191" s="8"/>
      <c r="J191" s="29" t="s">
        <v>81</v>
      </c>
      <c r="K191" s="29" t="s">
        <v>81</v>
      </c>
      <c r="L191" s="29" t="s">
        <v>81</v>
      </c>
    </row>
    <row r="192" spans="1:12" ht="16.25" customHeight="1" x14ac:dyDescent="0.2">
      <c r="A192" s="10">
        <v>46028</v>
      </c>
      <c r="B192" s="56" t="s">
        <v>84</v>
      </c>
      <c r="C192" s="57"/>
      <c r="D192" s="74"/>
      <c r="E192" s="74"/>
      <c r="F192" s="20"/>
      <c r="G192" s="26"/>
      <c r="H192" s="8"/>
      <c r="I192" s="8"/>
      <c r="J192" s="29" t="s">
        <v>81</v>
      </c>
      <c r="K192" s="29" t="s">
        <v>81</v>
      </c>
      <c r="L192" s="29" t="s">
        <v>81</v>
      </c>
    </row>
    <row r="193" spans="1:12" ht="16.25" customHeight="1" x14ac:dyDescent="0.2">
      <c r="A193" s="17">
        <v>46029</v>
      </c>
      <c r="B193" s="64" t="s">
        <v>85</v>
      </c>
      <c r="C193" s="65"/>
      <c r="D193" s="79"/>
      <c r="E193" s="79"/>
      <c r="F193" s="22"/>
      <c r="G193" s="28"/>
      <c r="H193" s="19"/>
      <c r="I193" s="19"/>
      <c r="J193" s="32" t="s">
        <v>81</v>
      </c>
      <c r="K193" s="32" t="s">
        <v>81</v>
      </c>
      <c r="L193" s="32" t="s">
        <v>81</v>
      </c>
    </row>
    <row r="194" spans="1:12" ht="16.25" customHeight="1" x14ac:dyDescent="0.2">
      <c r="A194" s="7">
        <v>46030</v>
      </c>
      <c r="B194" s="61">
        <v>3</v>
      </c>
      <c r="C194" s="60"/>
      <c r="D194" s="76" t="s">
        <v>258</v>
      </c>
      <c r="E194" s="76"/>
      <c r="F194" s="21"/>
      <c r="G194" s="27">
        <f>1+SUM(G169:G175)</f>
        <v>19</v>
      </c>
      <c r="H194" s="5"/>
      <c r="I194" s="5"/>
      <c r="J194" s="29" t="s">
        <v>81</v>
      </c>
      <c r="K194" s="29" t="s">
        <v>81</v>
      </c>
      <c r="L194" s="29" t="s">
        <v>81</v>
      </c>
    </row>
    <row r="195" spans="1:12" ht="16.25" customHeight="1" x14ac:dyDescent="0.2">
      <c r="A195" s="7">
        <v>46031</v>
      </c>
      <c r="B195" s="61">
        <v>4</v>
      </c>
      <c r="C195" s="60"/>
      <c r="D195" s="76"/>
      <c r="E195" s="76"/>
      <c r="F195" s="21"/>
      <c r="G195" s="27"/>
      <c r="H195" s="5"/>
      <c r="I195" s="5"/>
      <c r="J195" s="29" t="s">
        <v>81</v>
      </c>
      <c r="K195" s="29" t="s">
        <v>81</v>
      </c>
      <c r="L195" s="29" t="s">
        <v>81</v>
      </c>
    </row>
    <row r="196" spans="1:12" ht="16.25" customHeight="1" x14ac:dyDescent="0.2">
      <c r="A196" s="10">
        <v>46032</v>
      </c>
      <c r="B196" s="56" t="s">
        <v>20</v>
      </c>
      <c r="C196" s="57"/>
      <c r="D196" s="74"/>
      <c r="E196" s="74"/>
      <c r="F196" s="20"/>
      <c r="G196" s="26"/>
      <c r="H196" s="8"/>
      <c r="I196" s="8"/>
      <c r="J196" s="29" t="s">
        <v>81</v>
      </c>
      <c r="K196" s="29" t="s">
        <v>81</v>
      </c>
      <c r="L196" s="29" t="s">
        <v>81</v>
      </c>
    </row>
    <row r="197" spans="1:12" ht="16.25" customHeight="1" x14ac:dyDescent="0.2">
      <c r="A197" s="10">
        <v>46033</v>
      </c>
      <c r="B197" s="56" t="s">
        <v>20</v>
      </c>
      <c r="C197" s="57"/>
      <c r="D197" s="74"/>
      <c r="E197" s="74"/>
      <c r="F197" s="20"/>
      <c r="G197" s="26"/>
      <c r="H197" s="8"/>
      <c r="I197" s="8"/>
      <c r="J197" s="29" t="s">
        <v>81</v>
      </c>
      <c r="K197" s="29" t="s">
        <v>81</v>
      </c>
      <c r="L197" s="29" t="s">
        <v>81</v>
      </c>
    </row>
    <row r="198" spans="1:12" ht="16.25" customHeight="1" x14ac:dyDescent="0.2">
      <c r="A198" s="10">
        <v>46034</v>
      </c>
      <c r="B198" s="56" t="s">
        <v>17</v>
      </c>
      <c r="C198" s="57"/>
      <c r="D198" s="74"/>
      <c r="E198" s="74"/>
      <c r="F198" s="20"/>
      <c r="G198" s="26"/>
      <c r="H198" s="8"/>
      <c r="I198" s="8"/>
      <c r="J198" s="29" t="s">
        <v>81</v>
      </c>
      <c r="K198" s="29" t="s">
        <v>81</v>
      </c>
      <c r="L198" s="29" t="s">
        <v>81</v>
      </c>
    </row>
    <row r="199" spans="1:12" ht="16.25" customHeight="1" x14ac:dyDescent="0.2">
      <c r="A199" s="7">
        <v>46035</v>
      </c>
      <c r="B199" s="61">
        <v>5</v>
      </c>
      <c r="C199" s="60"/>
      <c r="D199" s="76"/>
      <c r="E199" s="76"/>
      <c r="F199" s="21"/>
      <c r="G199" s="27">
        <f>1+SUM(G190:G196)</f>
        <v>20</v>
      </c>
      <c r="H199" s="5"/>
      <c r="I199" s="5"/>
      <c r="J199" s="29" t="s">
        <v>65</v>
      </c>
      <c r="K199" s="29" t="s">
        <v>87</v>
      </c>
      <c r="L199" s="29" t="s">
        <v>81</v>
      </c>
    </row>
    <row r="200" spans="1:12" ht="16.25" customHeight="1" x14ac:dyDescent="0.2">
      <c r="A200" s="7">
        <v>46036</v>
      </c>
      <c r="B200" s="61">
        <v>6</v>
      </c>
      <c r="C200" s="60"/>
      <c r="D200" s="76" t="s">
        <v>259</v>
      </c>
      <c r="E200" s="76"/>
      <c r="F200" s="21">
        <v>13</v>
      </c>
      <c r="G200" s="27"/>
      <c r="H200" s="5"/>
      <c r="I200" s="5"/>
      <c r="J200" s="29" t="s">
        <v>88</v>
      </c>
      <c r="K200" s="29"/>
      <c r="L200" s="29"/>
    </row>
    <row r="201" spans="1:12" ht="16.25" customHeight="1" x14ac:dyDescent="0.2">
      <c r="A201" s="7">
        <v>46037</v>
      </c>
      <c r="B201" s="61">
        <v>1</v>
      </c>
      <c r="C201" s="60"/>
      <c r="D201" s="76"/>
      <c r="E201" s="76"/>
      <c r="F201" s="21"/>
      <c r="G201" s="27"/>
      <c r="H201" s="5"/>
      <c r="I201" s="5"/>
      <c r="J201" s="29"/>
      <c r="K201" s="29"/>
      <c r="L201" s="29"/>
    </row>
    <row r="202" spans="1:12" ht="16.25" customHeight="1" x14ac:dyDescent="0.2">
      <c r="A202" s="46">
        <v>46038</v>
      </c>
      <c r="B202" s="66" t="s">
        <v>51</v>
      </c>
      <c r="C202" s="67" t="s">
        <v>89</v>
      </c>
      <c r="D202" s="80"/>
      <c r="E202" s="80"/>
      <c r="F202" s="48"/>
      <c r="G202" s="49"/>
      <c r="H202" s="50"/>
      <c r="I202" s="50"/>
      <c r="J202" s="51"/>
      <c r="K202" s="51"/>
      <c r="L202" s="51"/>
    </row>
    <row r="203" spans="1:12" ht="16.25" customHeight="1" x14ac:dyDescent="0.2">
      <c r="A203" s="10">
        <v>46039</v>
      </c>
      <c r="B203" s="56" t="s">
        <v>20</v>
      </c>
      <c r="C203" s="57"/>
      <c r="D203" s="74"/>
      <c r="E203" s="74"/>
      <c r="F203" s="20"/>
      <c r="G203" s="26"/>
      <c r="H203" s="8"/>
      <c r="I203" s="8"/>
      <c r="J203" s="29"/>
      <c r="K203" s="29"/>
      <c r="L203" s="29"/>
    </row>
    <row r="204" spans="1:12" ht="16.25" customHeight="1" x14ac:dyDescent="0.2">
      <c r="A204" s="10">
        <v>46040</v>
      </c>
      <c r="B204" s="56" t="s">
        <v>20</v>
      </c>
      <c r="C204" s="57"/>
      <c r="D204" s="74"/>
      <c r="E204" s="74"/>
      <c r="F204" s="20"/>
      <c r="G204" s="26"/>
      <c r="H204" s="8"/>
      <c r="I204" s="8"/>
      <c r="J204" s="29"/>
      <c r="K204" s="29"/>
      <c r="L204" s="29"/>
    </row>
    <row r="205" spans="1:12" ht="16.25" customHeight="1" x14ac:dyDescent="0.2">
      <c r="A205" s="7">
        <v>46041</v>
      </c>
      <c r="B205" s="61">
        <v>2</v>
      </c>
      <c r="C205" s="60"/>
      <c r="D205" s="76"/>
      <c r="E205" s="76"/>
      <c r="F205" s="21"/>
      <c r="G205" s="27">
        <f>1+SUM(G196:G202)</f>
        <v>21</v>
      </c>
      <c r="H205" s="5"/>
      <c r="I205" s="5"/>
      <c r="J205" s="29"/>
      <c r="K205" s="29"/>
      <c r="L205" s="29"/>
    </row>
    <row r="206" spans="1:12" ht="16.25" customHeight="1" x14ac:dyDescent="0.2">
      <c r="A206" s="7">
        <v>46042</v>
      </c>
      <c r="B206" s="61">
        <v>3</v>
      </c>
      <c r="C206" s="60"/>
      <c r="D206" s="76"/>
      <c r="E206" s="76"/>
      <c r="F206" s="21"/>
      <c r="G206" s="27"/>
      <c r="H206" s="5"/>
      <c r="I206" s="5"/>
      <c r="J206" s="29"/>
      <c r="K206" s="29"/>
      <c r="L206" s="29"/>
    </row>
    <row r="207" spans="1:12" ht="16.25" customHeight="1" x14ac:dyDescent="0.2">
      <c r="A207" s="7">
        <v>46043</v>
      </c>
      <c r="B207" s="61">
        <v>4</v>
      </c>
      <c r="C207" s="60"/>
      <c r="D207" s="76"/>
      <c r="E207" s="76"/>
      <c r="F207" s="21"/>
      <c r="G207" s="27"/>
      <c r="H207" s="5"/>
      <c r="I207" s="5"/>
      <c r="J207" s="29"/>
      <c r="K207" s="29"/>
      <c r="L207" s="29"/>
    </row>
    <row r="208" spans="1:12" ht="16.25" customHeight="1" x14ac:dyDescent="0.2">
      <c r="A208" s="7">
        <v>46044</v>
      </c>
      <c r="B208" s="61">
        <v>5</v>
      </c>
      <c r="C208" s="60"/>
      <c r="D208" s="76"/>
      <c r="E208" s="76"/>
      <c r="F208" s="21"/>
      <c r="G208" s="27"/>
      <c r="H208" s="5"/>
      <c r="I208" s="5"/>
      <c r="J208" s="29"/>
      <c r="K208" s="29"/>
      <c r="L208" s="29"/>
    </row>
    <row r="209" spans="1:12" ht="16.25" customHeight="1" x14ac:dyDescent="0.2">
      <c r="A209" s="7">
        <v>46045</v>
      </c>
      <c r="B209" s="61">
        <v>6</v>
      </c>
      <c r="C209" s="60"/>
      <c r="D209" s="76"/>
      <c r="E209" s="76"/>
      <c r="F209" s="21">
        <v>14</v>
      </c>
      <c r="G209" s="27"/>
      <c r="H209" s="5"/>
      <c r="I209" s="5"/>
      <c r="J209" s="29"/>
      <c r="K209" s="29"/>
      <c r="L209" s="29"/>
    </row>
    <row r="210" spans="1:12" ht="16.25" customHeight="1" x14ac:dyDescent="0.2">
      <c r="A210" s="10">
        <v>46046</v>
      </c>
      <c r="B210" s="56" t="s">
        <v>20</v>
      </c>
      <c r="C210" s="57"/>
      <c r="D210" s="74"/>
      <c r="E210" s="74"/>
      <c r="F210" s="20"/>
      <c r="G210" s="26"/>
      <c r="H210" s="8"/>
      <c r="I210" s="8"/>
      <c r="J210" s="29"/>
      <c r="K210" s="29"/>
      <c r="L210" s="29"/>
    </row>
    <row r="211" spans="1:12" ht="16.25" customHeight="1" x14ac:dyDescent="0.2">
      <c r="A211" s="10">
        <v>46047</v>
      </c>
      <c r="B211" s="56" t="s">
        <v>20</v>
      </c>
      <c r="C211" s="57"/>
      <c r="D211" s="74"/>
      <c r="E211" s="74"/>
      <c r="F211" s="20"/>
      <c r="G211" s="26"/>
      <c r="H211" s="8"/>
      <c r="I211" s="8"/>
      <c r="J211" s="29"/>
      <c r="K211" s="29"/>
      <c r="L211" s="29"/>
    </row>
    <row r="212" spans="1:12" ht="16.25" customHeight="1" x14ac:dyDescent="0.2">
      <c r="A212" s="7">
        <v>46048</v>
      </c>
      <c r="B212" s="61">
        <v>1</v>
      </c>
      <c r="C212" s="60"/>
      <c r="D212" s="76"/>
      <c r="E212" s="76"/>
      <c r="F212" s="21"/>
      <c r="G212" s="27">
        <f>1+SUM(G203:G209)</f>
        <v>22</v>
      </c>
      <c r="H212" s="5"/>
      <c r="I212" s="5"/>
      <c r="J212" s="29"/>
      <c r="K212" s="29"/>
      <c r="L212" s="29"/>
    </row>
    <row r="213" spans="1:12" ht="16.25" customHeight="1" x14ac:dyDescent="0.2">
      <c r="A213" s="7">
        <v>46049</v>
      </c>
      <c r="B213" s="61">
        <v>2</v>
      </c>
      <c r="C213" s="60"/>
      <c r="D213" s="76" t="s">
        <v>260</v>
      </c>
      <c r="E213" s="76"/>
      <c r="F213" s="21"/>
      <c r="G213" s="27"/>
      <c r="H213" s="5"/>
      <c r="I213" s="5"/>
      <c r="J213" s="29"/>
      <c r="K213" s="29"/>
      <c r="L213" s="29"/>
    </row>
    <row r="214" spans="1:12" ht="16.25" customHeight="1" x14ac:dyDescent="0.2">
      <c r="A214" s="7">
        <v>46050</v>
      </c>
      <c r="B214" s="61">
        <v>3</v>
      </c>
      <c r="C214" s="60"/>
      <c r="D214" s="76"/>
      <c r="E214" s="76"/>
      <c r="F214" s="21"/>
      <c r="G214" s="27"/>
      <c r="H214" s="5"/>
      <c r="I214" s="5"/>
      <c r="J214" s="29"/>
      <c r="K214" s="29"/>
      <c r="L214" s="29"/>
    </row>
    <row r="215" spans="1:12" ht="16.25" customHeight="1" x14ac:dyDescent="0.2">
      <c r="A215" s="7">
        <v>46051</v>
      </c>
      <c r="B215" s="61">
        <v>4</v>
      </c>
      <c r="C215" s="60"/>
      <c r="D215" s="76"/>
      <c r="E215" s="76"/>
      <c r="F215" s="21"/>
      <c r="G215" s="27"/>
      <c r="H215" s="5"/>
      <c r="I215" s="5"/>
      <c r="J215" s="29"/>
      <c r="K215" s="29"/>
      <c r="L215" s="29"/>
    </row>
    <row r="216" spans="1:12" ht="16.25" customHeight="1" x14ac:dyDescent="0.2">
      <c r="A216" s="7">
        <v>46052</v>
      </c>
      <c r="B216" s="61">
        <v>5</v>
      </c>
      <c r="C216" s="60"/>
      <c r="D216" s="76"/>
      <c r="E216" s="76"/>
      <c r="F216" s="21"/>
      <c r="G216" s="27"/>
      <c r="H216" s="5"/>
      <c r="I216" s="5"/>
      <c r="J216" s="29"/>
      <c r="K216" s="29"/>
      <c r="L216" s="29"/>
    </row>
    <row r="217" spans="1:12" ht="16.25" customHeight="1" x14ac:dyDescent="0.2">
      <c r="A217" s="10">
        <v>46053</v>
      </c>
      <c r="B217" s="56" t="s">
        <v>20</v>
      </c>
      <c r="C217" s="57"/>
      <c r="D217" s="74"/>
      <c r="E217" s="74"/>
      <c r="F217" s="20"/>
      <c r="G217" s="26"/>
      <c r="H217" s="8"/>
      <c r="I217" s="8"/>
      <c r="J217" s="29"/>
      <c r="K217" s="29"/>
      <c r="L217" s="29"/>
    </row>
    <row r="218" spans="1:12" ht="16.25" customHeight="1" x14ac:dyDescent="0.2">
      <c r="A218" s="10">
        <v>46054</v>
      </c>
      <c r="B218" s="56" t="s">
        <v>20</v>
      </c>
      <c r="C218" s="57"/>
      <c r="D218" s="74"/>
      <c r="E218" s="74"/>
      <c r="F218" s="20"/>
      <c r="G218" s="26"/>
      <c r="H218" s="8"/>
      <c r="I218" s="8"/>
      <c r="J218" s="29"/>
      <c r="K218" s="29"/>
      <c r="L218" s="29"/>
    </row>
    <row r="219" spans="1:12" ht="16.25" customHeight="1" x14ac:dyDescent="0.2">
      <c r="A219" s="7">
        <v>46055</v>
      </c>
      <c r="B219" s="61">
        <v>6</v>
      </c>
      <c r="C219" s="60"/>
      <c r="D219" s="76"/>
      <c r="E219" s="76"/>
      <c r="F219" s="21">
        <v>15</v>
      </c>
      <c r="G219" s="27">
        <f>1+SUM(G210:G216)</f>
        <v>23</v>
      </c>
      <c r="H219" s="5"/>
      <c r="I219" s="5"/>
      <c r="J219" s="29"/>
      <c r="K219" s="29"/>
      <c r="L219" s="29"/>
    </row>
    <row r="220" spans="1:12" ht="16.25" customHeight="1" x14ac:dyDescent="0.2">
      <c r="A220" s="7">
        <v>46056</v>
      </c>
      <c r="B220" s="61">
        <v>1</v>
      </c>
      <c r="C220" s="60"/>
      <c r="D220" s="76"/>
      <c r="E220" s="76"/>
      <c r="F220" s="21"/>
      <c r="G220" s="27"/>
      <c r="H220" s="5"/>
      <c r="I220" s="5"/>
      <c r="J220" s="29"/>
      <c r="K220" s="29"/>
      <c r="L220" s="29"/>
    </row>
    <row r="221" spans="1:12" ht="16.25" customHeight="1" x14ac:dyDescent="0.2">
      <c r="A221" s="7">
        <v>46057</v>
      </c>
      <c r="B221" s="61">
        <v>2</v>
      </c>
      <c r="C221" s="60"/>
      <c r="D221" s="76"/>
      <c r="E221" s="76"/>
      <c r="F221" s="21"/>
      <c r="G221" s="27"/>
      <c r="H221" s="5"/>
      <c r="I221" s="5"/>
      <c r="J221" s="29"/>
      <c r="K221" s="29"/>
      <c r="L221" s="29"/>
    </row>
    <row r="222" spans="1:12" ht="16.25" customHeight="1" x14ac:dyDescent="0.2">
      <c r="A222" s="7">
        <v>46058</v>
      </c>
      <c r="B222" s="61">
        <v>3</v>
      </c>
      <c r="C222" s="60"/>
      <c r="D222" s="76"/>
      <c r="E222" s="76"/>
      <c r="F222" s="21"/>
      <c r="G222" s="27"/>
      <c r="H222" s="5"/>
      <c r="I222" s="5"/>
      <c r="J222" s="29"/>
      <c r="K222" s="29"/>
      <c r="L222" s="29"/>
    </row>
    <row r="223" spans="1:12" ht="16.25" customHeight="1" x14ac:dyDescent="0.2">
      <c r="A223" s="7">
        <v>46059</v>
      </c>
      <c r="B223" s="61">
        <v>4</v>
      </c>
      <c r="C223" s="60"/>
      <c r="D223" s="76"/>
      <c r="E223" s="76"/>
      <c r="F223" s="21"/>
      <c r="G223" s="27"/>
      <c r="H223" s="5"/>
      <c r="I223" s="5"/>
      <c r="J223" s="29"/>
      <c r="K223" s="29"/>
      <c r="L223" s="29"/>
    </row>
    <row r="224" spans="1:12" ht="16.25" customHeight="1" x14ac:dyDescent="0.2">
      <c r="A224" s="10">
        <v>46060</v>
      </c>
      <c r="B224" s="56" t="s">
        <v>20</v>
      </c>
      <c r="C224" s="57"/>
      <c r="D224" s="74"/>
      <c r="E224" s="74"/>
      <c r="F224" s="20"/>
      <c r="G224" s="26"/>
      <c r="H224" s="8"/>
      <c r="I224" s="8"/>
      <c r="J224" s="29"/>
      <c r="K224" s="29"/>
      <c r="L224" s="29"/>
    </row>
    <row r="225" spans="1:12" ht="16.25" customHeight="1" x14ac:dyDescent="0.2">
      <c r="A225" s="10">
        <v>46061</v>
      </c>
      <c r="B225" s="56" t="s">
        <v>20</v>
      </c>
      <c r="C225" s="57"/>
      <c r="D225" s="74"/>
      <c r="E225" s="74"/>
      <c r="F225" s="20"/>
      <c r="G225" s="26"/>
      <c r="H225" s="8"/>
      <c r="I225" s="8"/>
      <c r="J225" s="29"/>
      <c r="K225" s="29"/>
      <c r="L225" s="29"/>
    </row>
    <row r="226" spans="1:12" ht="16.25" customHeight="1" x14ac:dyDescent="0.2">
      <c r="A226" s="7">
        <v>46062</v>
      </c>
      <c r="B226" s="61">
        <v>5</v>
      </c>
      <c r="C226" s="60"/>
      <c r="D226" s="76"/>
      <c r="E226" s="76"/>
      <c r="F226" s="21"/>
      <c r="G226" s="27">
        <f>1+SUM(G217:G223)</f>
        <v>24</v>
      </c>
      <c r="H226" s="5"/>
      <c r="I226" s="5"/>
      <c r="J226" s="29"/>
      <c r="K226" s="29"/>
      <c r="L226" s="29"/>
    </row>
    <row r="227" spans="1:12" ht="16.25" customHeight="1" x14ac:dyDescent="0.2">
      <c r="A227" s="7">
        <v>46063</v>
      </c>
      <c r="B227" s="61">
        <v>6</v>
      </c>
      <c r="C227" s="60"/>
      <c r="D227" s="76"/>
      <c r="E227" s="76"/>
      <c r="F227" s="21">
        <v>16</v>
      </c>
      <c r="G227" s="27"/>
      <c r="H227" s="5"/>
      <c r="I227" s="5"/>
      <c r="J227" s="29"/>
      <c r="K227" s="29"/>
      <c r="L227" s="29"/>
    </row>
    <row r="228" spans="1:12" ht="16.25" customHeight="1" x14ac:dyDescent="0.2">
      <c r="A228" s="7">
        <v>46064</v>
      </c>
      <c r="B228" s="61">
        <v>1</v>
      </c>
      <c r="C228" s="60"/>
      <c r="D228" s="76"/>
      <c r="E228" s="76"/>
      <c r="F228" s="21"/>
      <c r="G228" s="27"/>
      <c r="H228" s="5"/>
      <c r="I228" s="5"/>
      <c r="J228" s="29"/>
      <c r="K228" s="29"/>
      <c r="L228" s="29"/>
    </row>
    <row r="229" spans="1:12" ht="16.25" customHeight="1" x14ac:dyDescent="0.2">
      <c r="A229" s="7">
        <v>46065</v>
      </c>
      <c r="B229" s="61">
        <v>2</v>
      </c>
      <c r="C229" s="60"/>
      <c r="D229" s="76"/>
      <c r="E229" s="76"/>
      <c r="F229" s="21"/>
      <c r="G229" s="27"/>
      <c r="H229" s="5"/>
      <c r="I229" s="5"/>
      <c r="J229" s="29"/>
      <c r="K229" s="29"/>
      <c r="L229" s="29"/>
    </row>
    <row r="230" spans="1:12" ht="16.25" customHeight="1" x14ac:dyDescent="0.2">
      <c r="A230" s="7">
        <v>46066</v>
      </c>
      <c r="B230" s="61">
        <v>3</v>
      </c>
      <c r="C230" s="60"/>
      <c r="D230" s="76"/>
      <c r="E230" s="76"/>
      <c r="F230" s="21"/>
      <c r="G230" s="27"/>
      <c r="H230" s="5"/>
      <c r="I230" s="5"/>
      <c r="J230" s="29"/>
      <c r="K230" s="29"/>
      <c r="L230" s="29"/>
    </row>
    <row r="231" spans="1:12" ht="16.25" customHeight="1" x14ac:dyDescent="0.2">
      <c r="A231" s="10">
        <v>46067</v>
      </c>
      <c r="B231" s="56" t="s">
        <v>20</v>
      </c>
      <c r="C231" s="57"/>
      <c r="D231" s="74"/>
      <c r="E231" s="74"/>
      <c r="F231" s="20"/>
      <c r="G231" s="26"/>
      <c r="H231" s="8"/>
      <c r="I231" s="8"/>
      <c r="J231" s="29"/>
      <c r="K231" s="29"/>
      <c r="L231" s="29"/>
    </row>
    <row r="232" spans="1:12" ht="16.25" customHeight="1" x14ac:dyDescent="0.2">
      <c r="A232" s="10">
        <v>46068</v>
      </c>
      <c r="B232" s="56" t="s">
        <v>20</v>
      </c>
      <c r="C232" s="57"/>
      <c r="D232" s="74"/>
      <c r="E232" s="74"/>
      <c r="F232" s="20"/>
      <c r="G232" s="26"/>
      <c r="H232" s="8"/>
      <c r="I232" s="8"/>
      <c r="J232" s="29"/>
      <c r="K232" s="29"/>
      <c r="L232" s="29"/>
    </row>
    <row r="233" spans="1:12" ht="16.25" customHeight="1" x14ac:dyDescent="0.2">
      <c r="A233" s="7">
        <v>46069</v>
      </c>
      <c r="B233" s="61">
        <v>4</v>
      </c>
      <c r="C233" s="60"/>
      <c r="D233" s="76"/>
      <c r="E233" s="76"/>
      <c r="F233" s="21"/>
      <c r="G233" s="27">
        <f>1+SUM(G224:G230)</f>
        <v>25</v>
      </c>
      <c r="H233" s="5"/>
      <c r="I233" s="5"/>
      <c r="J233" s="29"/>
      <c r="K233" s="29"/>
      <c r="L233" s="29"/>
    </row>
    <row r="234" spans="1:12" ht="16.25" customHeight="1" x14ac:dyDescent="0.2">
      <c r="A234" s="7">
        <v>46070</v>
      </c>
      <c r="B234" s="61">
        <v>5</v>
      </c>
      <c r="C234" s="60"/>
      <c r="D234" s="76"/>
      <c r="E234" s="76"/>
      <c r="F234" s="21"/>
      <c r="G234" s="27"/>
      <c r="H234" s="5"/>
      <c r="I234" s="5"/>
      <c r="J234" s="29"/>
      <c r="K234" s="29"/>
      <c r="L234" s="29"/>
    </row>
    <row r="235" spans="1:12" ht="16.25" customHeight="1" x14ac:dyDescent="0.2">
      <c r="A235" s="7">
        <v>46071</v>
      </c>
      <c r="B235" s="61">
        <v>6</v>
      </c>
      <c r="C235" s="60"/>
      <c r="D235" s="76"/>
      <c r="E235" s="76"/>
      <c r="F235" s="21">
        <v>17</v>
      </c>
      <c r="G235" s="27"/>
      <c r="H235" s="5"/>
      <c r="I235" s="5"/>
      <c r="J235" s="29"/>
      <c r="K235" s="29"/>
      <c r="L235" s="29"/>
    </row>
    <row r="236" spans="1:12" ht="16.25" customHeight="1" x14ac:dyDescent="0.2">
      <c r="A236" s="7">
        <v>46072</v>
      </c>
      <c r="B236" s="61">
        <v>1</v>
      </c>
      <c r="C236" s="60"/>
      <c r="D236" s="76"/>
      <c r="E236" s="76"/>
      <c r="F236" s="21"/>
      <c r="G236" s="27"/>
      <c r="H236" s="5"/>
      <c r="I236" s="5"/>
      <c r="J236" s="29"/>
      <c r="K236" s="29"/>
      <c r="L236" s="29"/>
    </row>
    <row r="237" spans="1:12" ht="16.25" customHeight="1" x14ac:dyDescent="0.2">
      <c r="A237" s="7">
        <v>46073</v>
      </c>
      <c r="B237" s="61">
        <v>2</v>
      </c>
      <c r="C237" s="60"/>
      <c r="D237" s="76" t="s">
        <v>261</v>
      </c>
      <c r="E237" s="76"/>
      <c r="F237" s="21"/>
      <c r="G237" s="27"/>
      <c r="H237" s="5"/>
      <c r="I237" s="5"/>
      <c r="J237" s="29"/>
      <c r="K237" s="29"/>
      <c r="L237" s="29"/>
    </row>
    <row r="238" spans="1:12" ht="16.25" customHeight="1" x14ac:dyDescent="0.2">
      <c r="A238" s="10">
        <v>46074</v>
      </c>
      <c r="B238" s="56" t="s">
        <v>20</v>
      </c>
      <c r="C238" s="57"/>
      <c r="D238" s="74"/>
      <c r="E238" s="74"/>
      <c r="F238" s="20"/>
      <c r="G238" s="26"/>
      <c r="H238" s="8"/>
      <c r="I238" s="8"/>
      <c r="J238" s="29"/>
      <c r="K238" s="29"/>
      <c r="L238" s="29"/>
    </row>
    <row r="239" spans="1:12" ht="16.25" customHeight="1" x14ac:dyDescent="0.2">
      <c r="A239" s="10">
        <v>46075</v>
      </c>
      <c r="B239" s="56" t="s">
        <v>20</v>
      </c>
      <c r="C239" s="57"/>
      <c r="D239" s="74"/>
      <c r="E239" s="74"/>
      <c r="F239" s="20"/>
      <c r="G239" s="26"/>
      <c r="H239" s="8"/>
      <c r="I239" s="8"/>
      <c r="J239" s="29"/>
      <c r="K239" s="29"/>
      <c r="L239" s="29"/>
    </row>
    <row r="240" spans="1:12" ht="16.25" customHeight="1" x14ac:dyDescent="0.2">
      <c r="A240" s="7">
        <v>46076</v>
      </c>
      <c r="B240" s="61">
        <v>3</v>
      </c>
      <c r="C240" s="60"/>
      <c r="D240" s="76"/>
      <c r="E240" s="76"/>
      <c r="F240" s="21"/>
      <c r="G240" s="27">
        <f>1+SUM(G231:G237)</f>
        <v>26</v>
      </c>
      <c r="H240" s="5"/>
      <c r="I240" s="5"/>
      <c r="J240" s="29"/>
      <c r="K240" s="29" t="s">
        <v>97</v>
      </c>
      <c r="L240" s="29"/>
    </row>
    <row r="241" spans="1:12" ht="16.25" customHeight="1" x14ac:dyDescent="0.2">
      <c r="A241" s="7">
        <v>46077</v>
      </c>
      <c r="B241" s="61">
        <v>4</v>
      </c>
      <c r="C241" s="60"/>
      <c r="D241" s="76"/>
      <c r="E241" s="76"/>
      <c r="F241" s="21"/>
      <c r="G241" s="27"/>
      <c r="H241" s="5"/>
      <c r="I241" s="5"/>
      <c r="J241" s="29"/>
      <c r="K241" s="29"/>
      <c r="L241" s="29"/>
    </row>
    <row r="242" spans="1:12" ht="16.25" customHeight="1" x14ac:dyDescent="0.2">
      <c r="A242" s="7">
        <v>46078</v>
      </c>
      <c r="B242" s="61">
        <v>5</v>
      </c>
      <c r="C242" s="60"/>
      <c r="D242" s="76"/>
      <c r="E242" s="76"/>
      <c r="F242" s="21"/>
      <c r="G242" s="27"/>
      <c r="H242" s="5"/>
      <c r="I242" s="5"/>
      <c r="J242" s="29"/>
      <c r="K242" s="29"/>
      <c r="L242" s="29"/>
    </row>
    <row r="243" spans="1:12" ht="16.25" customHeight="1" x14ac:dyDescent="0.2">
      <c r="A243" s="7">
        <v>46079</v>
      </c>
      <c r="B243" s="61">
        <v>6</v>
      </c>
      <c r="C243" s="60"/>
      <c r="D243" s="76"/>
      <c r="E243" s="76"/>
      <c r="F243" s="21">
        <v>18</v>
      </c>
      <c r="G243" s="27"/>
      <c r="H243" s="5"/>
      <c r="I243" s="5"/>
      <c r="J243" s="29"/>
      <c r="K243" s="29"/>
      <c r="L243" s="29"/>
    </row>
    <row r="244" spans="1:12" ht="16.25" customHeight="1" x14ac:dyDescent="0.2">
      <c r="A244" s="7">
        <v>46080</v>
      </c>
      <c r="B244" s="61">
        <v>1</v>
      </c>
      <c r="C244" s="60"/>
      <c r="D244" s="82"/>
      <c r="E244" s="76"/>
      <c r="F244" s="21"/>
      <c r="G244" s="27"/>
      <c r="H244" s="5"/>
      <c r="I244" s="5"/>
      <c r="J244" s="29"/>
      <c r="K244" s="29"/>
      <c r="L244" s="29"/>
    </row>
    <row r="245" spans="1:12" ht="16.25" customHeight="1" x14ac:dyDescent="0.2">
      <c r="A245" s="10">
        <v>46081</v>
      </c>
      <c r="B245" s="56" t="s">
        <v>20</v>
      </c>
      <c r="C245" s="57"/>
      <c r="D245" s="74"/>
      <c r="E245" s="74"/>
      <c r="F245" s="20"/>
      <c r="G245" s="26"/>
      <c r="H245" s="8"/>
      <c r="I245" s="8"/>
      <c r="J245" s="29"/>
      <c r="K245" s="29"/>
      <c r="L245" s="29"/>
    </row>
    <row r="246" spans="1:12" ht="16.25" customHeight="1" x14ac:dyDescent="0.2">
      <c r="A246" s="10">
        <v>46082</v>
      </c>
      <c r="B246" s="56" t="s">
        <v>20</v>
      </c>
      <c r="C246" s="57"/>
      <c r="D246" s="74"/>
      <c r="E246" s="74"/>
      <c r="F246" s="20"/>
      <c r="G246" s="26"/>
      <c r="H246" s="8"/>
      <c r="I246" s="8"/>
      <c r="J246" s="29"/>
      <c r="K246" s="29"/>
      <c r="L246" s="29"/>
    </row>
    <row r="247" spans="1:12" ht="16.25" customHeight="1" x14ac:dyDescent="0.2">
      <c r="A247" s="7">
        <v>46083</v>
      </c>
      <c r="B247" s="61">
        <v>2</v>
      </c>
      <c r="C247" s="60"/>
      <c r="D247" s="76" t="s">
        <v>177</v>
      </c>
      <c r="E247" s="76"/>
      <c r="F247" s="21"/>
      <c r="G247" s="27">
        <f>1+SUM(G238:G244)</f>
        <v>27</v>
      </c>
      <c r="H247" s="5"/>
      <c r="I247" s="5"/>
      <c r="J247" s="29"/>
      <c r="K247" s="29"/>
      <c r="L247" s="29"/>
    </row>
    <row r="248" spans="1:12" ht="16.25" customHeight="1" x14ac:dyDescent="0.2">
      <c r="A248" s="7">
        <v>46084</v>
      </c>
      <c r="B248" s="61">
        <v>3</v>
      </c>
      <c r="C248" s="60"/>
      <c r="D248" s="76" t="s">
        <v>177</v>
      </c>
      <c r="E248" s="76"/>
      <c r="F248" s="21"/>
      <c r="G248" s="27"/>
      <c r="H248" s="5"/>
      <c r="I248" s="5"/>
      <c r="J248" s="29"/>
      <c r="K248" s="29"/>
      <c r="L248" s="29"/>
    </row>
    <row r="249" spans="1:12" ht="16.25" customHeight="1" x14ac:dyDescent="0.2">
      <c r="A249" s="7">
        <v>46085</v>
      </c>
      <c r="B249" s="61">
        <v>4</v>
      </c>
      <c r="C249" s="60"/>
      <c r="D249" s="76" t="s">
        <v>177</v>
      </c>
      <c r="E249" s="76"/>
      <c r="F249" s="21"/>
      <c r="G249" s="27"/>
      <c r="H249" s="5"/>
      <c r="I249" s="5"/>
      <c r="J249" s="29"/>
      <c r="K249" s="29"/>
      <c r="L249" s="29"/>
    </row>
    <row r="250" spans="1:12" ht="16.25" customHeight="1" x14ac:dyDescent="0.2">
      <c r="A250" s="7">
        <v>46086</v>
      </c>
      <c r="B250" s="61">
        <v>5</v>
      </c>
      <c r="C250" s="60"/>
      <c r="D250" s="76" t="s">
        <v>177</v>
      </c>
      <c r="E250" s="76"/>
      <c r="F250" s="21"/>
      <c r="G250" s="27"/>
      <c r="H250" s="5"/>
      <c r="I250" s="5"/>
      <c r="J250" s="29"/>
      <c r="K250" s="29"/>
      <c r="L250" s="29"/>
    </row>
    <row r="251" spans="1:12" ht="16.25" customHeight="1" x14ac:dyDescent="0.2">
      <c r="A251" s="7">
        <v>46087</v>
      </c>
      <c r="B251" s="61">
        <v>6</v>
      </c>
      <c r="C251" s="60"/>
      <c r="D251" s="76" t="s">
        <v>262</v>
      </c>
      <c r="E251" s="76"/>
      <c r="F251" s="21">
        <v>19</v>
      </c>
      <c r="G251" s="27"/>
      <c r="H251" s="5"/>
      <c r="I251" s="5"/>
      <c r="J251" s="29"/>
      <c r="K251" s="29"/>
      <c r="L251" s="29"/>
    </row>
    <row r="252" spans="1:12" ht="16.25" customHeight="1" x14ac:dyDescent="0.2">
      <c r="A252" s="10">
        <v>46088</v>
      </c>
      <c r="B252" s="56" t="s">
        <v>20</v>
      </c>
      <c r="C252" s="57"/>
      <c r="D252" s="74"/>
      <c r="E252" s="74"/>
      <c r="F252" s="20"/>
      <c r="G252" s="26"/>
      <c r="H252" s="8"/>
      <c r="I252" s="8"/>
      <c r="J252" s="29"/>
      <c r="K252" s="29"/>
      <c r="L252" s="29"/>
    </row>
    <row r="253" spans="1:12" ht="16.25" customHeight="1" x14ac:dyDescent="0.2">
      <c r="A253" s="10">
        <v>46089</v>
      </c>
      <c r="B253" s="56" t="s">
        <v>20</v>
      </c>
      <c r="C253" s="57"/>
      <c r="D253" s="74"/>
      <c r="E253" s="74"/>
      <c r="F253" s="20"/>
      <c r="G253" s="26"/>
      <c r="H253" s="8"/>
      <c r="I253" s="8"/>
      <c r="J253" s="29"/>
      <c r="K253" s="29"/>
      <c r="L253" s="29"/>
    </row>
    <row r="254" spans="1:12" ht="16.25" customHeight="1" x14ac:dyDescent="0.2">
      <c r="A254" s="7">
        <v>46090</v>
      </c>
      <c r="B254" s="61">
        <v>1</v>
      </c>
      <c r="C254" s="60"/>
      <c r="D254" s="60"/>
      <c r="E254" s="76"/>
      <c r="F254" s="21"/>
      <c r="G254" s="27">
        <f>1+SUM(G245:G251)</f>
        <v>28</v>
      </c>
      <c r="H254" s="5"/>
      <c r="I254" s="5"/>
      <c r="J254" s="29" t="s">
        <v>65</v>
      </c>
      <c r="K254" s="29"/>
      <c r="L254" s="29"/>
    </row>
    <row r="255" spans="1:12" ht="16.25" customHeight="1" x14ac:dyDescent="0.2">
      <c r="A255" s="7">
        <v>46091</v>
      </c>
      <c r="B255" s="61">
        <v>2</v>
      </c>
      <c r="C255" s="60"/>
      <c r="D255" s="76"/>
      <c r="E255" s="76"/>
      <c r="F255" s="21"/>
      <c r="G255" s="27"/>
      <c r="H255" s="5"/>
      <c r="I255" s="5"/>
      <c r="J255" s="29"/>
      <c r="K255" s="29"/>
      <c r="L255" s="29"/>
    </row>
    <row r="256" spans="1:12" ht="16.25" customHeight="1" x14ac:dyDescent="0.2">
      <c r="A256" s="7">
        <v>46092</v>
      </c>
      <c r="B256" s="61">
        <v>3</v>
      </c>
      <c r="C256" s="60"/>
      <c r="D256" s="76"/>
      <c r="E256" s="76"/>
      <c r="F256" s="21"/>
      <c r="G256" s="27"/>
      <c r="H256" s="5"/>
      <c r="I256" s="5"/>
      <c r="J256" s="29"/>
      <c r="K256" s="29"/>
      <c r="L256" s="29"/>
    </row>
    <row r="257" spans="1:12" ht="16.25" customHeight="1" x14ac:dyDescent="0.2">
      <c r="A257" s="7">
        <v>46093</v>
      </c>
      <c r="B257" s="61">
        <v>4</v>
      </c>
      <c r="C257" s="60"/>
      <c r="D257" s="76" t="s">
        <v>263</v>
      </c>
      <c r="E257" s="76"/>
      <c r="F257" s="21"/>
      <c r="G257" s="27"/>
      <c r="H257" s="5"/>
      <c r="I257" s="5"/>
      <c r="J257" s="29"/>
      <c r="K257" s="29"/>
      <c r="L257" s="29"/>
    </row>
    <row r="258" spans="1:12" ht="16.25" customHeight="1" x14ac:dyDescent="0.2">
      <c r="A258" s="7">
        <v>46094</v>
      </c>
      <c r="B258" s="61">
        <v>5</v>
      </c>
      <c r="C258" s="60"/>
      <c r="D258" s="76"/>
      <c r="E258" s="83"/>
      <c r="F258" s="21"/>
      <c r="G258" s="27"/>
      <c r="H258" s="5"/>
      <c r="I258" s="5"/>
      <c r="J258" s="29"/>
      <c r="K258" s="29"/>
      <c r="L258" s="29"/>
    </row>
    <row r="259" spans="1:12" ht="16.25" customHeight="1" x14ac:dyDescent="0.2">
      <c r="A259" s="10">
        <v>46095</v>
      </c>
      <c r="B259" s="56" t="s">
        <v>20</v>
      </c>
      <c r="C259" s="57"/>
      <c r="D259" s="74"/>
      <c r="E259" s="74"/>
      <c r="F259" s="20"/>
      <c r="G259" s="26"/>
      <c r="H259" s="8"/>
      <c r="I259" s="8"/>
      <c r="J259" s="29"/>
      <c r="K259" s="29"/>
      <c r="L259" s="29"/>
    </row>
    <row r="260" spans="1:12" ht="16.25" customHeight="1" x14ac:dyDescent="0.2">
      <c r="A260" s="10">
        <v>46096</v>
      </c>
      <c r="B260" s="56" t="s">
        <v>20</v>
      </c>
      <c r="C260" s="57"/>
      <c r="D260" s="74"/>
      <c r="E260" s="74"/>
      <c r="F260" s="20"/>
      <c r="G260" s="26"/>
      <c r="H260" s="8"/>
      <c r="I260" s="8"/>
      <c r="J260" s="29"/>
      <c r="K260" s="29"/>
      <c r="L260" s="29"/>
    </row>
    <row r="261" spans="1:12" ht="16.25" customHeight="1" x14ac:dyDescent="0.2">
      <c r="A261" s="7">
        <v>46097</v>
      </c>
      <c r="B261" s="61">
        <v>6</v>
      </c>
      <c r="C261" s="60"/>
      <c r="D261" s="76"/>
      <c r="E261" s="76"/>
      <c r="F261" s="21">
        <v>20</v>
      </c>
      <c r="G261" s="27">
        <f>1+SUM(G252:G258)</f>
        <v>29</v>
      </c>
      <c r="H261" s="5"/>
      <c r="I261" s="5"/>
      <c r="J261" s="29"/>
      <c r="K261" s="29"/>
      <c r="L261" s="29"/>
    </row>
    <row r="262" spans="1:12" ht="16.25" customHeight="1" x14ac:dyDescent="0.2">
      <c r="A262" s="7">
        <v>46098</v>
      </c>
      <c r="B262" s="61">
        <v>1</v>
      </c>
      <c r="C262" s="60"/>
      <c r="D262" s="76"/>
      <c r="E262" s="76"/>
      <c r="F262" s="21"/>
      <c r="G262" s="27"/>
      <c r="H262" s="5"/>
      <c r="I262" s="5"/>
      <c r="J262" s="29"/>
      <c r="K262" s="29"/>
      <c r="L262" s="29"/>
    </row>
    <row r="263" spans="1:12" ht="16.25" customHeight="1" x14ac:dyDescent="0.2">
      <c r="A263" s="7">
        <v>46099</v>
      </c>
      <c r="B263" s="61">
        <v>2</v>
      </c>
      <c r="C263" s="60"/>
      <c r="D263" s="76"/>
      <c r="E263" s="76" t="s">
        <v>264</v>
      </c>
      <c r="F263" s="21"/>
      <c r="G263" s="27"/>
      <c r="H263" s="5"/>
      <c r="I263" s="5"/>
      <c r="J263" s="29"/>
      <c r="K263" s="29"/>
      <c r="L263" s="29"/>
    </row>
    <row r="264" spans="1:12" ht="16.25" customHeight="1" x14ac:dyDescent="0.2">
      <c r="A264" s="7">
        <v>46100</v>
      </c>
      <c r="B264" s="61">
        <v>3</v>
      </c>
      <c r="C264" s="60"/>
      <c r="D264" s="76"/>
      <c r="E264" s="76"/>
      <c r="F264" s="21"/>
      <c r="G264" s="27"/>
      <c r="H264" s="5"/>
      <c r="I264" s="5"/>
      <c r="J264" s="29"/>
      <c r="K264" s="29"/>
      <c r="L264" s="29"/>
    </row>
    <row r="265" spans="1:12" ht="16.25" customHeight="1" x14ac:dyDescent="0.2">
      <c r="A265" s="7">
        <v>46101</v>
      </c>
      <c r="B265" s="61">
        <v>4</v>
      </c>
      <c r="C265" s="60"/>
      <c r="D265" s="76" t="s">
        <v>265</v>
      </c>
      <c r="E265" s="83" t="s">
        <v>266</v>
      </c>
      <c r="F265" s="21"/>
      <c r="G265" s="27"/>
      <c r="H265" s="5"/>
      <c r="I265" s="5"/>
      <c r="J265" s="29"/>
      <c r="K265" s="29"/>
      <c r="L265" s="29"/>
    </row>
    <row r="266" spans="1:12" ht="16.25" customHeight="1" x14ac:dyDescent="0.2">
      <c r="A266" s="10">
        <v>46102</v>
      </c>
      <c r="B266" s="56" t="s">
        <v>20</v>
      </c>
      <c r="C266" s="57"/>
      <c r="D266" s="74"/>
      <c r="E266" s="74"/>
      <c r="F266" s="20"/>
      <c r="G266" s="26"/>
      <c r="H266" s="8"/>
      <c r="I266" s="8"/>
      <c r="J266" s="29"/>
      <c r="K266" s="29" t="s">
        <v>81</v>
      </c>
      <c r="L266" s="29"/>
    </row>
    <row r="267" spans="1:12" ht="16.25" customHeight="1" x14ac:dyDescent="0.2">
      <c r="A267" s="10">
        <v>46103</v>
      </c>
      <c r="B267" s="56" t="s">
        <v>20</v>
      </c>
      <c r="C267" s="57"/>
      <c r="D267" s="74"/>
      <c r="E267" s="74"/>
      <c r="F267" s="20"/>
      <c r="G267" s="26"/>
      <c r="H267" s="8"/>
      <c r="I267" s="8"/>
      <c r="J267" s="29"/>
      <c r="K267" s="29" t="s">
        <v>81</v>
      </c>
      <c r="L267" s="29"/>
    </row>
    <row r="268" spans="1:12" ht="16.25" customHeight="1" x14ac:dyDescent="0.2">
      <c r="A268" s="10">
        <v>46104</v>
      </c>
      <c r="B268" s="56" t="s">
        <v>17</v>
      </c>
      <c r="C268" s="57"/>
      <c r="D268" s="74"/>
      <c r="E268" s="74"/>
      <c r="F268" s="20"/>
      <c r="G268" s="26"/>
      <c r="H268" s="8"/>
      <c r="I268" s="8"/>
      <c r="J268" s="29"/>
      <c r="K268" s="29" t="s">
        <v>81</v>
      </c>
      <c r="L268" s="29"/>
    </row>
    <row r="269" spans="1:12" ht="16.25" customHeight="1" x14ac:dyDescent="0.2">
      <c r="A269" s="7">
        <v>46105</v>
      </c>
      <c r="B269" s="61">
        <v>5</v>
      </c>
      <c r="C269" s="60"/>
      <c r="D269" s="76" t="s">
        <v>267</v>
      </c>
      <c r="E269" s="76"/>
      <c r="F269" s="21"/>
      <c r="G269" s="27">
        <f>1+SUM(G260:G266)</f>
        <v>30</v>
      </c>
      <c r="H269" s="5"/>
      <c r="I269" s="5"/>
      <c r="J269" s="29"/>
      <c r="K269" s="29" t="s">
        <v>81</v>
      </c>
      <c r="L269" s="29"/>
    </row>
    <row r="270" spans="1:12" ht="16.25" customHeight="1" x14ac:dyDescent="0.2">
      <c r="A270" s="7">
        <v>46106</v>
      </c>
      <c r="B270" s="61">
        <v>6</v>
      </c>
      <c r="C270" s="60"/>
      <c r="D270" s="76" t="s">
        <v>268</v>
      </c>
      <c r="E270" s="76"/>
      <c r="F270" s="21">
        <v>21</v>
      </c>
      <c r="G270" s="27"/>
      <c r="H270" s="5"/>
      <c r="I270" s="5"/>
      <c r="J270" s="29"/>
      <c r="K270" s="29" t="s">
        <v>81</v>
      </c>
      <c r="L270" s="29"/>
    </row>
    <row r="271" spans="1:12" ht="16.25" customHeight="1" x14ac:dyDescent="0.2">
      <c r="A271" s="37">
        <v>46107</v>
      </c>
      <c r="B271" s="62">
        <v>1</v>
      </c>
      <c r="C271" s="63" t="s">
        <v>102</v>
      </c>
      <c r="D271" s="78"/>
      <c r="E271" s="78"/>
      <c r="F271" s="40"/>
      <c r="G271" s="41"/>
      <c r="H271" s="42"/>
      <c r="I271" s="42"/>
      <c r="J271" s="43"/>
      <c r="K271" s="43" t="s">
        <v>81</v>
      </c>
      <c r="L271" s="43"/>
    </row>
    <row r="272" spans="1:12" ht="16.25" customHeight="1" x14ac:dyDescent="0.2">
      <c r="A272" s="10">
        <v>46108</v>
      </c>
      <c r="B272" s="56" t="s">
        <v>104</v>
      </c>
      <c r="C272" s="57"/>
      <c r="D272" s="74"/>
      <c r="E272" s="74"/>
      <c r="F272" s="20"/>
      <c r="G272" s="26"/>
      <c r="H272" s="8"/>
      <c r="I272" s="8"/>
      <c r="J272" s="29"/>
      <c r="K272" s="29" t="s">
        <v>81</v>
      </c>
      <c r="L272" s="29"/>
    </row>
    <row r="273" spans="1:12" ht="16.25" customHeight="1" x14ac:dyDescent="0.2">
      <c r="A273" s="10">
        <v>46109</v>
      </c>
      <c r="B273" s="56" t="s">
        <v>20</v>
      </c>
      <c r="C273" s="57"/>
      <c r="D273" s="74"/>
      <c r="E273" s="74"/>
      <c r="F273" s="20"/>
      <c r="G273" s="26"/>
      <c r="H273" s="8"/>
      <c r="I273" s="8"/>
      <c r="J273" s="29" t="s">
        <v>81</v>
      </c>
      <c r="K273" s="29" t="s">
        <v>81</v>
      </c>
      <c r="L273" s="29" t="s">
        <v>81</v>
      </c>
    </row>
    <row r="274" spans="1:12" ht="16.25" customHeight="1" x14ac:dyDescent="0.2">
      <c r="A274" s="10">
        <v>46110</v>
      </c>
      <c r="B274" s="56" t="s">
        <v>20</v>
      </c>
      <c r="C274" s="57"/>
      <c r="D274" s="74"/>
      <c r="E274" s="74"/>
      <c r="F274" s="20"/>
      <c r="G274" s="26"/>
      <c r="H274" s="8"/>
      <c r="I274" s="8"/>
      <c r="J274" s="29" t="s">
        <v>81</v>
      </c>
      <c r="K274" s="29" t="s">
        <v>81</v>
      </c>
      <c r="L274" s="29" t="s">
        <v>81</v>
      </c>
    </row>
    <row r="275" spans="1:12" ht="16.25" customHeight="1" x14ac:dyDescent="0.2">
      <c r="A275" s="10">
        <v>46111</v>
      </c>
      <c r="B275" s="56" t="s">
        <v>104</v>
      </c>
      <c r="C275" s="57"/>
      <c r="D275" s="74"/>
      <c r="E275" s="74"/>
      <c r="F275" s="20"/>
      <c r="G275" s="26"/>
      <c r="H275" s="8"/>
      <c r="I275" s="8"/>
      <c r="J275" s="29" t="s">
        <v>81</v>
      </c>
      <c r="K275" s="29" t="s">
        <v>81</v>
      </c>
      <c r="L275" s="29" t="s">
        <v>81</v>
      </c>
    </row>
    <row r="276" spans="1:12" ht="16.25" customHeight="1" x14ac:dyDescent="0.2">
      <c r="A276" s="10">
        <v>46112</v>
      </c>
      <c r="B276" s="56" t="s">
        <v>104</v>
      </c>
      <c r="C276" s="57"/>
      <c r="D276" s="74"/>
      <c r="E276" s="74"/>
      <c r="F276" s="20"/>
      <c r="G276" s="26"/>
      <c r="H276" s="8"/>
      <c r="I276" s="8"/>
      <c r="J276" s="29" t="s">
        <v>81</v>
      </c>
      <c r="K276" s="29" t="s">
        <v>81</v>
      </c>
      <c r="L276" s="29" t="s">
        <v>81</v>
      </c>
    </row>
    <row r="277" spans="1:12" ht="16.25" customHeight="1" x14ac:dyDescent="0.2">
      <c r="A277" s="10">
        <v>46113</v>
      </c>
      <c r="B277" s="56" t="s">
        <v>104</v>
      </c>
      <c r="C277" s="57"/>
      <c r="D277" s="74"/>
      <c r="E277" s="74"/>
      <c r="F277" s="20"/>
      <c r="G277" s="26"/>
      <c r="H277" s="8"/>
      <c r="I277" s="8"/>
      <c r="J277" s="29" t="s">
        <v>81</v>
      </c>
      <c r="K277" s="29" t="s">
        <v>81</v>
      </c>
      <c r="L277" s="29" t="s">
        <v>81</v>
      </c>
    </row>
    <row r="278" spans="1:12" ht="16.25" customHeight="1" x14ac:dyDescent="0.2">
      <c r="A278" s="10">
        <v>46114</v>
      </c>
      <c r="B278" s="56" t="s">
        <v>17</v>
      </c>
      <c r="C278" s="57"/>
      <c r="D278" s="74"/>
      <c r="E278" s="74"/>
      <c r="F278" s="20"/>
      <c r="G278" s="26"/>
      <c r="H278" s="8"/>
      <c r="I278" s="8"/>
      <c r="J278" s="29" t="s">
        <v>81</v>
      </c>
      <c r="K278" s="29" t="s">
        <v>81</v>
      </c>
      <c r="L278" s="29" t="s">
        <v>81</v>
      </c>
    </row>
    <row r="279" spans="1:12" ht="16.25" customHeight="1" x14ac:dyDescent="0.2">
      <c r="A279" s="10">
        <v>46115</v>
      </c>
      <c r="B279" s="56" t="s">
        <v>17</v>
      </c>
      <c r="C279" s="57"/>
      <c r="D279" s="74"/>
      <c r="E279" s="74"/>
      <c r="F279" s="20"/>
      <c r="G279" s="26"/>
      <c r="H279" s="8"/>
      <c r="I279" s="8"/>
      <c r="J279" s="29" t="s">
        <v>81</v>
      </c>
      <c r="K279" s="29" t="s">
        <v>81</v>
      </c>
      <c r="L279" s="29" t="s">
        <v>81</v>
      </c>
    </row>
    <row r="280" spans="1:12" ht="16.25" customHeight="1" x14ac:dyDescent="0.2">
      <c r="A280" s="10">
        <v>46116</v>
      </c>
      <c r="B280" s="56" t="s">
        <v>20</v>
      </c>
      <c r="C280" s="57"/>
      <c r="D280" s="74"/>
      <c r="E280" s="74"/>
      <c r="F280" s="20"/>
      <c r="G280" s="26"/>
      <c r="H280" s="8"/>
      <c r="I280" s="8"/>
      <c r="J280" s="29" t="s">
        <v>81</v>
      </c>
      <c r="K280" s="29" t="s">
        <v>81</v>
      </c>
      <c r="L280" s="29" t="s">
        <v>81</v>
      </c>
    </row>
    <row r="281" spans="1:12" ht="16.25" customHeight="1" x14ac:dyDescent="0.2">
      <c r="A281" s="10">
        <v>46117</v>
      </c>
      <c r="B281" s="56" t="s">
        <v>20</v>
      </c>
      <c r="C281" s="57"/>
      <c r="D281" s="74"/>
      <c r="E281" s="74"/>
      <c r="F281" s="20"/>
      <c r="G281" s="26"/>
      <c r="H281" s="8"/>
      <c r="I281" s="8"/>
      <c r="J281" s="29" t="s">
        <v>81</v>
      </c>
      <c r="K281" s="29" t="s">
        <v>81</v>
      </c>
      <c r="L281" s="29" t="s">
        <v>81</v>
      </c>
    </row>
    <row r="282" spans="1:12" ht="16.25" customHeight="1" x14ac:dyDescent="0.2">
      <c r="A282" s="10">
        <v>46118</v>
      </c>
      <c r="B282" s="56" t="s">
        <v>104</v>
      </c>
      <c r="C282" s="57"/>
      <c r="D282" s="74"/>
      <c r="E282" s="74"/>
      <c r="F282" s="20"/>
      <c r="G282" s="26"/>
      <c r="H282" s="8"/>
      <c r="I282" s="8"/>
      <c r="J282" s="29" t="s">
        <v>81</v>
      </c>
      <c r="K282" s="29" t="s">
        <v>87</v>
      </c>
      <c r="L282" s="29" t="s">
        <v>81</v>
      </c>
    </row>
    <row r="283" spans="1:12" ht="16.25" customHeight="1" x14ac:dyDescent="0.2">
      <c r="A283" s="17">
        <v>46119</v>
      </c>
      <c r="B283" s="64" t="s">
        <v>105</v>
      </c>
      <c r="C283" s="65"/>
      <c r="D283" s="79"/>
      <c r="E283" s="79"/>
      <c r="F283" s="22"/>
      <c r="G283" s="28"/>
      <c r="H283" s="19"/>
      <c r="I283" s="19"/>
      <c r="J283" s="32" t="s">
        <v>81</v>
      </c>
      <c r="K283" s="32"/>
      <c r="L283" s="32"/>
    </row>
    <row r="284" spans="1:12" ht="16.25" customHeight="1" x14ac:dyDescent="0.2">
      <c r="A284" s="7">
        <v>46120</v>
      </c>
      <c r="B284" s="61">
        <v>2</v>
      </c>
      <c r="C284" s="60"/>
      <c r="D284" s="76"/>
      <c r="E284" s="76"/>
      <c r="F284" s="21"/>
      <c r="G284" s="27">
        <f>1+SUM(G268:G274)</f>
        <v>31</v>
      </c>
      <c r="H284" s="5"/>
      <c r="I284" s="5"/>
      <c r="J284" s="29" t="s">
        <v>81</v>
      </c>
      <c r="K284" s="29"/>
      <c r="L284" s="29"/>
    </row>
    <row r="285" spans="1:12" ht="16.25" customHeight="1" x14ac:dyDescent="0.2">
      <c r="A285" s="7">
        <v>46121</v>
      </c>
      <c r="B285" s="61">
        <v>3</v>
      </c>
      <c r="C285" s="60"/>
      <c r="D285" s="76" t="s">
        <v>233</v>
      </c>
      <c r="E285" s="76"/>
      <c r="F285" s="21"/>
      <c r="G285" s="27"/>
      <c r="H285" s="5"/>
      <c r="I285" s="5"/>
      <c r="J285" s="29" t="s">
        <v>81</v>
      </c>
      <c r="K285" s="29"/>
      <c r="L285" s="29"/>
    </row>
    <row r="286" spans="1:12" ht="16.25" customHeight="1" x14ac:dyDescent="0.2">
      <c r="A286" s="7">
        <v>46122</v>
      </c>
      <c r="B286" s="61">
        <v>4</v>
      </c>
      <c r="C286" s="60"/>
      <c r="D286" s="76"/>
      <c r="E286" s="76"/>
      <c r="F286" s="21"/>
      <c r="G286" s="27"/>
      <c r="H286" s="5"/>
      <c r="I286" s="5"/>
      <c r="J286" s="29" t="s">
        <v>81</v>
      </c>
      <c r="K286" s="29"/>
      <c r="L286" s="29"/>
    </row>
    <row r="287" spans="1:12" ht="16.25" customHeight="1" x14ac:dyDescent="0.2">
      <c r="A287" s="10">
        <v>46123</v>
      </c>
      <c r="B287" s="56" t="s">
        <v>20</v>
      </c>
      <c r="C287" s="57"/>
      <c r="D287" s="74"/>
      <c r="E287" s="74"/>
      <c r="F287" s="20"/>
      <c r="G287" s="26"/>
      <c r="H287" s="8"/>
      <c r="I287" s="8"/>
      <c r="J287" s="29" t="s">
        <v>81</v>
      </c>
      <c r="K287" s="29"/>
      <c r="L287" s="29"/>
    </row>
    <row r="288" spans="1:12" ht="16.25" customHeight="1" x14ac:dyDescent="0.2">
      <c r="A288" s="10">
        <v>46124</v>
      </c>
      <c r="B288" s="56" t="s">
        <v>20</v>
      </c>
      <c r="C288" s="57"/>
      <c r="D288" s="74"/>
      <c r="E288" s="74"/>
      <c r="F288" s="20"/>
      <c r="G288" s="26"/>
      <c r="H288" s="8"/>
      <c r="I288" s="8"/>
      <c r="J288" s="29" t="s">
        <v>81</v>
      </c>
      <c r="K288" s="29"/>
      <c r="L288" s="29"/>
    </row>
    <row r="289" spans="1:12" ht="16.25" customHeight="1" x14ac:dyDescent="0.2">
      <c r="A289" s="7">
        <v>46125</v>
      </c>
      <c r="B289" s="61">
        <v>5</v>
      </c>
      <c r="C289" s="60"/>
      <c r="D289" s="76"/>
      <c r="E289" s="76" t="s">
        <v>269</v>
      </c>
      <c r="F289" s="21"/>
      <c r="G289" s="27">
        <f>1+SUM(G280:G286)</f>
        <v>32</v>
      </c>
      <c r="H289" s="5"/>
      <c r="I289" s="5"/>
      <c r="J289" s="29" t="s">
        <v>65</v>
      </c>
      <c r="K289" s="29"/>
      <c r="L289" s="29"/>
    </row>
    <row r="290" spans="1:12" ht="16.25" customHeight="1" x14ac:dyDescent="0.2">
      <c r="A290" s="7">
        <v>46126</v>
      </c>
      <c r="B290" s="61">
        <v>6</v>
      </c>
      <c r="C290" s="60"/>
      <c r="D290" s="76"/>
      <c r="E290" s="76" t="s">
        <v>269</v>
      </c>
      <c r="F290" s="21">
        <v>22</v>
      </c>
      <c r="G290" s="27"/>
      <c r="H290" s="5"/>
      <c r="I290" s="5"/>
      <c r="J290" s="29" t="s">
        <v>88</v>
      </c>
      <c r="K290" s="29"/>
      <c r="L290" s="29"/>
    </row>
    <row r="291" spans="1:12" ht="16.25" customHeight="1" x14ac:dyDescent="0.2">
      <c r="A291" s="7">
        <v>46127</v>
      </c>
      <c r="B291" s="61">
        <v>1</v>
      </c>
      <c r="C291" s="60"/>
      <c r="D291" s="76" t="s">
        <v>270</v>
      </c>
      <c r="E291" s="76" t="s">
        <v>269</v>
      </c>
      <c r="F291" s="21"/>
      <c r="G291" s="27"/>
      <c r="H291" s="5"/>
      <c r="I291" s="5"/>
      <c r="J291" s="29"/>
      <c r="K291" s="29"/>
      <c r="L291" s="29"/>
    </row>
    <row r="292" spans="1:12" ht="16.25" customHeight="1" x14ac:dyDescent="0.2">
      <c r="A292" s="7">
        <v>46128</v>
      </c>
      <c r="B292" s="61">
        <v>2</v>
      </c>
      <c r="C292" s="60"/>
      <c r="D292" s="76"/>
      <c r="E292" s="76" t="s">
        <v>269</v>
      </c>
      <c r="F292" s="21"/>
      <c r="G292" s="27"/>
      <c r="H292" s="5"/>
      <c r="I292" s="5"/>
      <c r="J292" s="29"/>
      <c r="K292" s="29"/>
      <c r="L292" s="29"/>
    </row>
    <row r="293" spans="1:12" ht="16.25" customHeight="1" x14ac:dyDescent="0.2">
      <c r="A293" s="46">
        <v>46129</v>
      </c>
      <c r="B293" s="66" t="s">
        <v>51</v>
      </c>
      <c r="C293" s="67" t="s">
        <v>106</v>
      </c>
      <c r="D293" s="80"/>
      <c r="E293" s="80"/>
      <c r="F293" s="48"/>
      <c r="G293" s="49"/>
      <c r="H293" s="50"/>
      <c r="I293" s="50"/>
      <c r="J293" s="51"/>
      <c r="K293" s="51"/>
      <c r="L293" s="51"/>
    </row>
    <row r="294" spans="1:12" ht="16.25" customHeight="1" x14ac:dyDescent="0.2">
      <c r="A294" s="10">
        <v>46130</v>
      </c>
      <c r="B294" s="56" t="s">
        <v>20</v>
      </c>
      <c r="C294" s="57"/>
      <c r="D294" s="74"/>
      <c r="E294" s="74"/>
      <c r="F294" s="20"/>
      <c r="G294" s="26"/>
      <c r="H294" s="8"/>
      <c r="I294" s="8"/>
      <c r="J294" s="29"/>
      <c r="K294" s="29"/>
      <c r="L294" s="29"/>
    </row>
    <row r="295" spans="1:12" ht="16.25" customHeight="1" x14ac:dyDescent="0.2">
      <c r="A295" s="10">
        <v>46131</v>
      </c>
      <c r="B295" s="56" t="s">
        <v>20</v>
      </c>
      <c r="C295" s="57"/>
      <c r="D295" s="74"/>
      <c r="E295" s="74"/>
      <c r="F295" s="20"/>
      <c r="G295" s="26"/>
      <c r="H295" s="8"/>
      <c r="I295" s="8"/>
      <c r="J295" s="29"/>
      <c r="K295" s="29"/>
      <c r="L295" s="29"/>
    </row>
    <row r="296" spans="1:12" ht="16.25" customHeight="1" x14ac:dyDescent="0.2">
      <c r="A296" s="7">
        <v>46132</v>
      </c>
      <c r="B296" s="61">
        <v>3</v>
      </c>
      <c r="C296" s="60"/>
      <c r="D296" s="76"/>
      <c r="E296" s="76"/>
      <c r="F296" s="21"/>
      <c r="G296" s="27">
        <f>1+SUM(G287:G293)</f>
        <v>33</v>
      </c>
      <c r="H296" s="5"/>
      <c r="I296" s="5"/>
      <c r="J296" s="29"/>
      <c r="K296" s="29"/>
      <c r="L296" s="29"/>
    </row>
    <row r="297" spans="1:12" ht="16.25" customHeight="1" x14ac:dyDescent="0.2">
      <c r="A297" s="7">
        <v>46133</v>
      </c>
      <c r="B297" s="61">
        <v>4</v>
      </c>
      <c r="C297" s="60"/>
      <c r="D297" s="76"/>
      <c r="E297" s="76"/>
      <c r="F297" s="21"/>
      <c r="G297" s="27"/>
      <c r="H297" s="5"/>
      <c r="I297" s="5"/>
      <c r="J297" s="29"/>
      <c r="K297" s="29"/>
      <c r="L297" s="29"/>
    </row>
    <row r="298" spans="1:12" ht="16.25" customHeight="1" x14ac:dyDescent="0.2">
      <c r="A298" s="7">
        <v>46134</v>
      </c>
      <c r="B298" s="61">
        <v>5</v>
      </c>
      <c r="C298" s="60"/>
      <c r="D298" s="76"/>
      <c r="E298" s="76"/>
      <c r="F298" s="21"/>
      <c r="G298" s="27"/>
      <c r="H298" s="5"/>
      <c r="I298" s="5"/>
      <c r="J298" s="29"/>
      <c r="K298" s="29"/>
      <c r="L298" s="29"/>
    </row>
    <row r="299" spans="1:12" ht="16.25" customHeight="1" x14ac:dyDescent="0.2">
      <c r="A299" s="7">
        <v>46135</v>
      </c>
      <c r="B299" s="61">
        <v>6</v>
      </c>
      <c r="C299" s="60"/>
      <c r="D299" s="76" t="s">
        <v>271</v>
      </c>
      <c r="E299" s="76"/>
      <c r="F299" s="21">
        <v>23</v>
      </c>
      <c r="G299" s="27"/>
      <c r="H299" s="5"/>
      <c r="I299" s="5"/>
      <c r="J299" s="29"/>
      <c r="K299" s="29"/>
      <c r="L299" s="29"/>
    </row>
    <row r="300" spans="1:12" ht="16.25" customHeight="1" x14ac:dyDescent="0.2">
      <c r="A300" s="7">
        <v>46136</v>
      </c>
      <c r="B300" s="61">
        <v>1</v>
      </c>
      <c r="C300" s="60"/>
      <c r="D300" s="76" t="s">
        <v>272</v>
      </c>
      <c r="E300" s="76" t="s">
        <v>273</v>
      </c>
      <c r="F300" s="21"/>
      <c r="G300" s="27"/>
      <c r="H300" s="5"/>
      <c r="I300" s="5"/>
      <c r="J300" s="29"/>
      <c r="K300" s="29"/>
      <c r="L300" s="29"/>
    </row>
    <row r="301" spans="1:12" ht="16.25" customHeight="1" x14ac:dyDescent="0.2">
      <c r="A301" s="10">
        <v>46137</v>
      </c>
      <c r="B301" s="56" t="s">
        <v>20</v>
      </c>
      <c r="C301" s="57"/>
      <c r="D301" s="74"/>
      <c r="E301" s="74"/>
      <c r="F301" s="20"/>
      <c r="G301" s="26"/>
      <c r="H301" s="8"/>
      <c r="I301" s="8"/>
      <c r="J301" s="29"/>
      <c r="K301" s="29"/>
      <c r="L301" s="29"/>
    </row>
    <row r="302" spans="1:12" ht="16.25" customHeight="1" x14ac:dyDescent="0.2">
      <c r="A302" s="10">
        <v>46138</v>
      </c>
      <c r="B302" s="56" t="s">
        <v>20</v>
      </c>
      <c r="C302" s="57"/>
      <c r="D302" s="74"/>
      <c r="E302" s="74" t="s">
        <v>274</v>
      </c>
      <c r="F302" s="20"/>
      <c r="G302" s="26"/>
      <c r="H302" s="8"/>
      <c r="I302" s="8"/>
      <c r="J302" s="29"/>
      <c r="K302" s="29"/>
      <c r="L302" s="29"/>
    </row>
    <row r="303" spans="1:12" ht="16.25" customHeight="1" x14ac:dyDescent="0.2">
      <c r="A303" s="7">
        <v>46139</v>
      </c>
      <c r="B303" s="61">
        <v>2</v>
      </c>
      <c r="C303" s="60"/>
      <c r="D303" s="76"/>
      <c r="E303" s="76" t="s">
        <v>274</v>
      </c>
      <c r="F303" s="21"/>
      <c r="G303" s="27">
        <f>1+SUM(G294:G300)</f>
        <v>34</v>
      </c>
      <c r="H303" s="5"/>
      <c r="I303" s="5"/>
      <c r="J303" s="29"/>
      <c r="K303" s="29"/>
      <c r="L303" s="29"/>
    </row>
    <row r="304" spans="1:12" ht="16.25" customHeight="1" x14ac:dyDescent="0.2">
      <c r="A304" s="7">
        <v>46140</v>
      </c>
      <c r="B304" s="61">
        <v>3</v>
      </c>
      <c r="C304" s="60"/>
      <c r="D304" s="76"/>
      <c r="E304" s="76" t="s">
        <v>274</v>
      </c>
      <c r="F304" s="21"/>
      <c r="G304" s="27"/>
      <c r="H304" s="5"/>
      <c r="I304" s="5"/>
      <c r="J304" s="29"/>
      <c r="K304" s="29"/>
      <c r="L304" s="29"/>
    </row>
    <row r="305" spans="1:12" ht="16.25" customHeight="1" x14ac:dyDescent="0.2">
      <c r="A305" s="7">
        <v>46141</v>
      </c>
      <c r="B305" s="61">
        <v>4</v>
      </c>
      <c r="C305" s="60"/>
      <c r="D305" s="76"/>
      <c r="E305" s="76" t="s">
        <v>274</v>
      </c>
      <c r="F305" s="21"/>
      <c r="G305" s="27"/>
      <c r="H305" s="5"/>
      <c r="I305" s="5"/>
      <c r="J305" s="29"/>
      <c r="K305" s="29"/>
      <c r="L305" s="29"/>
    </row>
    <row r="306" spans="1:12" ht="16.25" customHeight="1" x14ac:dyDescent="0.2">
      <c r="A306" s="7">
        <v>46142</v>
      </c>
      <c r="B306" s="61">
        <v>5</v>
      </c>
      <c r="C306" s="60"/>
      <c r="D306" s="76"/>
      <c r="E306" s="76" t="s">
        <v>274</v>
      </c>
      <c r="F306" s="21"/>
      <c r="G306" s="27"/>
      <c r="H306" s="5"/>
      <c r="I306" s="5"/>
      <c r="J306" s="29"/>
      <c r="K306" s="29"/>
      <c r="L306" s="29"/>
    </row>
    <row r="307" spans="1:12" ht="16.25" customHeight="1" x14ac:dyDescent="0.2">
      <c r="A307" s="10">
        <v>46143</v>
      </c>
      <c r="B307" s="56" t="s">
        <v>17</v>
      </c>
      <c r="C307" s="57"/>
      <c r="D307" s="74"/>
      <c r="E307" s="74"/>
      <c r="F307" s="20"/>
      <c r="G307" s="26"/>
      <c r="H307" s="8"/>
      <c r="I307" s="8"/>
      <c r="J307" s="29"/>
      <c r="K307" s="29"/>
      <c r="L307" s="29"/>
    </row>
    <row r="308" spans="1:12" ht="16.25" customHeight="1" x14ac:dyDescent="0.2">
      <c r="A308" s="10">
        <v>46144</v>
      </c>
      <c r="B308" s="56" t="s">
        <v>20</v>
      </c>
      <c r="C308" s="57"/>
      <c r="D308" s="74"/>
      <c r="E308" s="74"/>
      <c r="F308" s="20"/>
      <c r="G308" s="26"/>
      <c r="H308" s="8"/>
      <c r="I308" s="8"/>
      <c r="J308" s="29"/>
      <c r="K308" s="29"/>
      <c r="L308" s="29"/>
    </row>
    <row r="309" spans="1:12" ht="16.25" customHeight="1" x14ac:dyDescent="0.2">
      <c r="A309" s="10">
        <v>46145</v>
      </c>
      <c r="B309" s="56" t="s">
        <v>20</v>
      </c>
      <c r="C309" s="57"/>
      <c r="D309" s="74"/>
      <c r="E309" s="74"/>
      <c r="F309" s="20"/>
      <c r="G309" s="26"/>
      <c r="H309" s="8"/>
      <c r="I309" s="8"/>
      <c r="J309" s="29"/>
      <c r="K309" s="29"/>
      <c r="L309" s="29"/>
    </row>
    <row r="310" spans="1:12" ht="16.25" customHeight="1" x14ac:dyDescent="0.2">
      <c r="A310" s="7">
        <v>46146</v>
      </c>
      <c r="B310" s="61">
        <v>6</v>
      </c>
      <c r="C310" s="60"/>
      <c r="D310" s="76"/>
      <c r="E310" s="76"/>
      <c r="F310" s="21">
        <v>24</v>
      </c>
      <c r="G310" s="27">
        <f>1+SUM(G301:G307)</f>
        <v>35</v>
      </c>
      <c r="H310" s="5"/>
      <c r="I310" s="5"/>
      <c r="J310" s="29"/>
      <c r="K310" s="29"/>
      <c r="L310" s="29"/>
    </row>
    <row r="311" spans="1:12" ht="16.25" customHeight="1" x14ac:dyDescent="0.2">
      <c r="A311" s="7">
        <v>46147</v>
      </c>
      <c r="B311" s="61">
        <v>1</v>
      </c>
      <c r="C311" s="60"/>
      <c r="D311" s="76"/>
      <c r="E311" s="76" t="s">
        <v>275</v>
      </c>
      <c r="F311" s="21"/>
      <c r="G311" s="27"/>
      <c r="H311" s="5"/>
      <c r="I311" s="5"/>
      <c r="J311" s="29"/>
      <c r="K311" s="29"/>
      <c r="L311" s="29"/>
    </row>
    <row r="312" spans="1:12" ht="16.25" customHeight="1" x14ac:dyDescent="0.2">
      <c r="A312" s="7">
        <v>46148</v>
      </c>
      <c r="B312" s="61">
        <v>2</v>
      </c>
      <c r="C312" s="60"/>
      <c r="D312" s="76"/>
      <c r="E312" s="76" t="s">
        <v>275</v>
      </c>
      <c r="F312" s="21"/>
      <c r="G312" s="27"/>
      <c r="H312" s="5"/>
      <c r="I312" s="5"/>
      <c r="J312" s="29"/>
      <c r="K312" s="29"/>
      <c r="L312" s="29"/>
    </row>
    <row r="313" spans="1:12" ht="16.25" customHeight="1" x14ac:dyDescent="0.2">
      <c r="A313" s="7">
        <v>46149</v>
      </c>
      <c r="B313" s="61">
        <v>3</v>
      </c>
      <c r="C313" s="60"/>
      <c r="D313" s="76"/>
      <c r="E313" s="76" t="s">
        <v>275</v>
      </c>
      <c r="F313" s="21"/>
      <c r="G313" s="27"/>
      <c r="H313" s="5"/>
      <c r="I313" s="5"/>
      <c r="J313" s="29"/>
      <c r="K313" s="29"/>
      <c r="L313" s="29"/>
    </row>
    <row r="314" spans="1:12" ht="16.25" customHeight="1" x14ac:dyDescent="0.2">
      <c r="A314" s="7">
        <v>46150</v>
      </c>
      <c r="B314" s="61">
        <v>4</v>
      </c>
      <c r="C314" s="60"/>
      <c r="D314" s="76" t="s">
        <v>276</v>
      </c>
      <c r="E314" s="76" t="s">
        <v>275</v>
      </c>
      <c r="F314" s="21"/>
      <c r="G314" s="27"/>
      <c r="H314" s="5"/>
      <c r="I314" s="5"/>
      <c r="J314" s="29"/>
      <c r="K314" s="29"/>
      <c r="L314" s="29"/>
    </row>
    <row r="315" spans="1:12" ht="16.25" customHeight="1" x14ac:dyDescent="0.2">
      <c r="A315" s="10">
        <v>46151</v>
      </c>
      <c r="B315" s="56" t="s">
        <v>20</v>
      </c>
      <c r="C315" s="57"/>
      <c r="D315" s="74"/>
      <c r="E315" s="74"/>
      <c r="F315" s="20"/>
      <c r="G315" s="26"/>
      <c r="H315" s="8"/>
      <c r="I315" s="8"/>
      <c r="J315" s="29"/>
      <c r="K315" s="29"/>
      <c r="L315" s="29"/>
    </row>
    <row r="316" spans="1:12" ht="16.25" customHeight="1" x14ac:dyDescent="0.2">
      <c r="A316" s="10">
        <v>46152</v>
      </c>
      <c r="B316" s="56" t="s">
        <v>20</v>
      </c>
      <c r="C316" s="57"/>
      <c r="D316" s="74"/>
      <c r="E316" s="74" t="s">
        <v>277</v>
      </c>
      <c r="F316" s="20"/>
      <c r="G316" s="26"/>
      <c r="H316" s="8"/>
      <c r="I316" s="8"/>
      <c r="J316" s="29"/>
      <c r="K316" s="29"/>
      <c r="L316" s="29"/>
    </row>
    <row r="317" spans="1:12" ht="16.25" customHeight="1" x14ac:dyDescent="0.2">
      <c r="A317" s="7">
        <v>46153</v>
      </c>
      <c r="B317" s="61">
        <v>5</v>
      </c>
      <c r="C317" s="60"/>
      <c r="D317" s="76"/>
      <c r="E317" s="76" t="s">
        <v>277</v>
      </c>
      <c r="F317" s="21"/>
      <c r="G317" s="27">
        <f>1+SUM(G308:G314)</f>
        <v>36</v>
      </c>
      <c r="H317" s="5"/>
      <c r="I317" s="5"/>
      <c r="J317" s="29"/>
      <c r="K317" s="29"/>
      <c r="L317" s="29"/>
    </row>
    <row r="318" spans="1:12" ht="16.25" customHeight="1" x14ac:dyDescent="0.2">
      <c r="A318" s="7">
        <v>46154</v>
      </c>
      <c r="B318" s="61">
        <v>6</v>
      </c>
      <c r="C318" s="60"/>
      <c r="D318" s="76"/>
      <c r="E318" s="76" t="s">
        <v>277</v>
      </c>
      <c r="F318" s="21">
        <v>25</v>
      </c>
      <c r="G318" s="27"/>
      <c r="H318" s="5"/>
      <c r="I318" s="5"/>
      <c r="J318" s="29"/>
      <c r="K318" s="29"/>
      <c r="L318" s="29"/>
    </row>
    <row r="319" spans="1:12" ht="16.25" customHeight="1" x14ac:dyDescent="0.2">
      <c r="A319" s="7">
        <v>46155</v>
      </c>
      <c r="B319" s="61">
        <v>1</v>
      </c>
      <c r="C319" s="60"/>
      <c r="D319" s="76"/>
      <c r="E319" s="76" t="s">
        <v>277</v>
      </c>
      <c r="F319" s="21"/>
      <c r="G319" s="27"/>
      <c r="H319" s="5"/>
      <c r="I319" s="5"/>
      <c r="J319" s="29"/>
      <c r="K319" s="29"/>
      <c r="L319" s="29"/>
    </row>
    <row r="320" spans="1:12" ht="16.25" customHeight="1" x14ac:dyDescent="0.2">
      <c r="A320" s="7">
        <v>46156</v>
      </c>
      <c r="B320" s="61">
        <v>2</v>
      </c>
      <c r="C320" s="60"/>
      <c r="D320" s="76"/>
      <c r="E320" s="76" t="s">
        <v>277</v>
      </c>
      <c r="F320" s="21"/>
      <c r="G320" s="27"/>
      <c r="H320" s="5"/>
      <c r="I320" s="5"/>
      <c r="J320" s="29"/>
      <c r="K320" s="29"/>
      <c r="L320" s="29"/>
    </row>
    <row r="321" spans="1:12" ht="16.25" customHeight="1" x14ac:dyDescent="0.2">
      <c r="A321" s="10">
        <v>46157</v>
      </c>
      <c r="B321" s="56" t="s">
        <v>109</v>
      </c>
      <c r="C321" s="57"/>
      <c r="D321" s="74"/>
      <c r="E321" s="74"/>
      <c r="F321" s="20"/>
      <c r="G321" s="26"/>
      <c r="H321" s="8"/>
      <c r="I321" s="8"/>
      <c r="J321" s="29"/>
      <c r="K321" s="29"/>
      <c r="L321" s="29"/>
    </row>
    <row r="322" spans="1:12" ht="16.25" customHeight="1" x14ac:dyDescent="0.2">
      <c r="A322" s="10">
        <v>46158</v>
      </c>
      <c r="B322" s="56" t="s">
        <v>20</v>
      </c>
      <c r="C322" s="57"/>
      <c r="D322" s="74"/>
      <c r="E322" s="74"/>
      <c r="F322" s="20"/>
      <c r="G322" s="26"/>
      <c r="H322" s="8"/>
      <c r="I322" s="8"/>
      <c r="J322" s="29"/>
      <c r="K322" s="29"/>
      <c r="L322" s="29"/>
    </row>
    <row r="323" spans="1:12" ht="16.25" customHeight="1" x14ac:dyDescent="0.2">
      <c r="A323" s="10">
        <v>46159</v>
      </c>
      <c r="B323" s="56" t="s">
        <v>20</v>
      </c>
      <c r="C323" s="57"/>
      <c r="D323" s="74"/>
      <c r="E323" s="74"/>
      <c r="F323" s="20"/>
      <c r="G323" s="26"/>
      <c r="H323" s="8"/>
      <c r="I323" s="8"/>
      <c r="J323" s="29"/>
      <c r="K323" s="29"/>
      <c r="L323" s="29"/>
    </row>
    <row r="324" spans="1:12" ht="16.25" customHeight="1" x14ac:dyDescent="0.2">
      <c r="A324" s="10">
        <v>46160</v>
      </c>
      <c r="B324" s="56" t="s">
        <v>17</v>
      </c>
      <c r="C324" s="57"/>
      <c r="D324" s="74"/>
      <c r="E324" s="74"/>
      <c r="F324" s="20"/>
      <c r="G324" s="26"/>
      <c r="H324" s="8"/>
      <c r="I324" s="8"/>
      <c r="J324" s="29"/>
      <c r="K324" s="29"/>
      <c r="L324" s="29"/>
    </row>
    <row r="325" spans="1:12" ht="16.25" customHeight="1" x14ac:dyDescent="0.2">
      <c r="A325" s="7">
        <v>46161</v>
      </c>
      <c r="B325" s="61">
        <v>3</v>
      </c>
      <c r="C325" s="60"/>
      <c r="D325" s="76"/>
      <c r="E325" s="76"/>
      <c r="F325" s="21"/>
      <c r="G325" s="27">
        <f>1+SUM(G316:G322)</f>
        <v>37</v>
      </c>
      <c r="H325" s="5"/>
      <c r="I325" s="5"/>
      <c r="J325" s="29"/>
      <c r="K325" s="29"/>
      <c r="L325" s="29"/>
    </row>
    <row r="326" spans="1:12" ht="16.25" customHeight="1" x14ac:dyDescent="0.2">
      <c r="A326" s="7">
        <v>46162</v>
      </c>
      <c r="B326" s="61">
        <v>4</v>
      </c>
      <c r="C326" s="60"/>
      <c r="D326" s="76"/>
      <c r="E326" s="76"/>
      <c r="F326" s="21"/>
      <c r="G326" s="27"/>
      <c r="H326" s="5"/>
      <c r="I326" s="5"/>
      <c r="J326" s="29"/>
      <c r="K326" s="29"/>
      <c r="L326" s="29"/>
    </row>
    <row r="327" spans="1:12" ht="16.25" customHeight="1" x14ac:dyDescent="0.2">
      <c r="A327" s="7">
        <v>46163</v>
      </c>
      <c r="B327" s="61">
        <v>5</v>
      </c>
      <c r="C327" s="60"/>
      <c r="D327" s="76"/>
      <c r="E327" s="76"/>
      <c r="F327" s="21"/>
      <c r="G327" s="27"/>
      <c r="H327" s="5"/>
      <c r="I327" s="5"/>
      <c r="J327" s="29"/>
      <c r="K327" s="29"/>
      <c r="L327" s="29"/>
    </row>
    <row r="328" spans="1:12" ht="16.25" customHeight="1" x14ac:dyDescent="0.2">
      <c r="A328" s="7">
        <v>46164</v>
      </c>
      <c r="B328" s="58" t="s">
        <v>51</v>
      </c>
      <c r="C328" s="60" t="s">
        <v>112</v>
      </c>
      <c r="D328" s="76"/>
      <c r="E328" s="76"/>
      <c r="F328" s="21"/>
      <c r="G328" s="27"/>
      <c r="H328" s="5"/>
      <c r="I328" s="5"/>
      <c r="J328" s="29"/>
      <c r="K328" s="29"/>
      <c r="L328" s="29"/>
    </row>
    <row r="329" spans="1:12" ht="16.25" customHeight="1" x14ac:dyDescent="0.2">
      <c r="A329" s="10">
        <v>46165</v>
      </c>
      <c r="B329" s="56" t="s">
        <v>20</v>
      </c>
      <c r="C329" s="57"/>
      <c r="D329" s="74"/>
      <c r="E329" s="74"/>
      <c r="F329" s="20"/>
      <c r="G329" s="26"/>
      <c r="H329" s="8"/>
      <c r="I329" s="8"/>
      <c r="J329" s="29"/>
      <c r="K329" s="29"/>
      <c r="L329" s="29"/>
    </row>
    <row r="330" spans="1:12" ht="16.25" customHeight="1" x14ac:dyDescent="0.2">
      <c r="A330" s="10">
        <v>46166</v>
      </c>
      <c r="B330" s="56" t="s">
        <v>20</v>
      </c>
      <c r="C330" s="57"/>
      <c r="D330" s="74"/>
      <c r="E330" s="74"/>
      <c r="F330" s="20"/>
      <c r="G330" s="26"/>
      <c r="H330" s="8"/>
      <c r="I330" s="8"/>
      <c r="J330" s="29"/>
      <c r="K330" s="29"/>
      <c r="L330" s="29"/>
    </row>
    <row r="331" spans="1:12" ht="16.25" customHeight="1" x14ac:dyDescent="0.2">
      <c r="A331" s="7">
        <v>46167</v>
      </c>
      <c r="B331" s="61">
        <v>6</v>
      </c>
      <c r="C331" s="60" t="s">
        <v>77</v>
      </c>
      <c r="D331" s="76"/>
      <c r="E331" s="76"/>
      <c r="F331" s="21">
        <v>26</v>
      </c>
      <c r="G331" s="27">
        <f>1+SUM(G322:G328)</f>
        <v>38</v>
      </c>
      <c r="H331" s="5"/>
      <c r="I331" s="5"/>
      <c r="J331" s="29"/>
      <c r="K331" s="29"/>
      <c r="L331" s="29"/>
    </row>
    <row r="332" spans="1:12" ht="16.25" customHeight="1" x14ac:dyDescent="0.2">
      <c r="A332" s="7">
        <v>46168</v>
      </c>
      <c r="B332" s="61">
        <v>1</v>
      </c>
      <c r="C332" s="60" t="s">
        <v>77</v>
      </c>
      <c r="D332" s="76"/>
      <c r="E332" s="76"/>
      <c r="F332" s="21"/>
      <c r="G332" s="27"/>
      <c r="H332" s="5"/>
      <c r="I332" s="5"/>
      <c r="J332" s="29"/>
      <c r="K332" s="29"/>
      <c r="L332" s="29"/>
    </row>
    <row r="333" spans="1:12" ht="16.25" customHeight="1" x14ac:dyDescent="0.2">
      <c r="A333" s="7">
        <v>46169</v>
      </c>
      <c r="B333" s="61">
        <v>2</v>
      </c>
      <c r="C333" s="60" t="s">
        <v>77</v>
      </c>
      <c r="D333" s="76"/>
      <c r="E333" s="76"/>
      <c r="F333" s="21"/>
      <c r="G333" s="27"/>
      <c r="H333" s="5"/>
      <c r="I333" s="5"/>
      <c r="J333" s="29"/>
      <c r="K333" s="29"/>
      <c r="L333" s="29"/>
    </row>
    <row r="334" spans="1:12" ht="16.25" customHeight="1" x14ac:dyDescent="0.2">
      <c r="A334" s="7">
        <v>46170</v>
      </c>
      <c r="B334" s="61">
        <v>3</v>
      </c>
      <c r="C334" s="60" t="s">
        <v>77</v>
      </c>
      <c r="D334" s="76"/>
      <c r="E334" s="76"/>
      <c r="F334" s="21"/>
      <c r="G334" s="27"/>
      <c r="H334" s="5"/>
      <c r="I334" s="5"/>
      <c r="J334" s="29"/>
      <c r="K334" s="29"/>
      <c r="L334" s="29"/>
    </row>
    <row r="335" spans="1:12" ht="16.25" customHeight="1" x14ac:dyDescent="0.2">
      <c r="A335" s="7">
        <v>46171</v>
      </c>
      <c r="B335" s="61">
        <v>4</v>
      </c>
      <c r="C335" s="60" t="s">
        <v>77</v>
      </c>
      <c r="D335" s="76"/>
      <c r="E335" s="76"/>
      <c r="F335" s="21"/>
      <c r="G335" s="27"/>
      <c r="H335" s="5"/>
      <c r="I335" s="5"/>
      <c r="J335" s="29"/>
      <c r="K335" s="29"/>
      <c r="L335" s="29"/>
    </row>
    <row r="336" spans="1:12" ht="16.25" customHeight="1" x14ac:dyDescent="0.2">
      <c r="A336" s="10">
        <v>46172</v>
      </c>
      <c r="B336" s="56" t="s">
        <v>20</v>
      </c>
      <c r="C336" s="57"/>
      <c r="D336" s="74"/>
      <c r="E336" s="74"/>
      <c r="F336" s="20"/>
      <c r="G336" s="26"/>
      <c r="H336" s="8"/>
      <c r="I336" s="8"/>
      <c r="J336" s="29"/>
      <c r="K336" s="29"/>
      <c r="L336" s="29"/>
    </row>
    <row r="337" spans="1:12" ht="16.25" customHeight="1" x14ac:dyDescent="0.2">
      <c r="A337" s="10">
        <v>46173</v>
      </c>
      <c r="B337" s="56" t="s">
        <v>20</v>
      </c>
      <c r="C337" s="57"/>
      <c r="D337" s="74"/>
      <c r="E337" s="74"/>
      <c r="F337" s="20"/>
      <c r="G337" s="26"/>
      <c r="H337" s="8"/>
      <c r="I337" s="8"/>
      <c r="J337" s="29"/>
      <c r="K337" s="29"/>
      <c r="L337" s="29"/>
    </row>
    <row r="338" spans="1:12" ht="16.25" customHeight="1" x14ac:dyDescent="0.2">
      <c r="A338" s="7">
        <v>46174</v>
      </c>
      <c r="B338" s="61">
        <v>5</v>
      </c>
      <c r="C338" s="60" t="s">
        <v>77</v>
      </c>
      <c r="D338" s="76"/>
      <c r="E338" s="76"/>
      <c r="F338" s="21"/>
      <c r="G338" s="27">
        <f>1+SUM(G329:G335)</f>
        <v>39</v>
      </c>
      <c r="H338" s="5"/>
      <c r="I338" s="5"/>
      <c r="J338" s="29"/>
      <c r="K338" s="29"/>
      <c r="L338" s="29"/>
    </row>
    <row r="339" spans="1:12" ht="16.25" customHeight="1" x14ac:dyDescent="0.2">
      <c r="A339" s="7">
        <v>46175</v>
      </c>
      <c r="B339" s="61">
        <v>6</v>
      </c>
      <c r="C339" s="60" t="s">
        <v>77</v>
      </c>
      <c r="D339" s="76" t="s">
        <v>278</v>
      </c>
      <c r="E339" s="76"/>
      <c r="F339" s="21">
        <v>27</v>
      </c>
      <c r="G339" s="27"/>
      <c r="H339" s="5"/>
      <c r="I339" s="5"/>
      <c r="J339" s="29"/>
      <c r="K339" s="29"/>
      <c r="L339" s="29"/>
    </row>
    <row r="340" spans="1:12" ht="16.25" customHeight="1" x14ac:dyDescent="0.2">
      <c r="A340" s="7">
        <v>46176</v>
      </c>
      <c r="B340" s="61">
        <v>1</v>
      </c>
      <c r="C340" s="69"/>
      <c r="D340" s="76" t="s">
        <v>279</v>
      </c>
      <c r="E340" s="76"/>
      <c r="F340" s="21"/>
      <c r="G340" s="27"/>
      <c r="H340" s="5"/>
      <c r="I340" s="5"/>
      <c r="J340" s="29"/>
      <c r="K340" s="29"/>
      <c r="L340" s="29"/>
    </row>
    <row r="341" spans="1:12" ht="16.25" customHeight="1" x14ac:dyDescent="0.2">
      <c r="A341" s="7">
        <v>46177</v>
      </c>
      <c r="B341" s="61">
        <v>2</v>
      </c>
      <c r="C341" s="60"/>
      <c r="D341" s="76" t="s">
        <v>280</v>
      </c>
      <c r="E341" s="76"/>
      <c r="F341" s="21"/>
      <c r="G341" s="27"/>
      <c r="H341" s="5"/>
      <c r="I341" s="5"/>
      <c r="J341" s="29"/>
      <c r="K341" s="29"/>
      <c r="L341" s="29"/>
    </row>
    <row r="342" spans="1:12" ht="16.25" customHeight="1" x14ac:dyDescent="0.2">
      <c r="A342" s="7">
        <v>46178</v>
      </c>
      <c r="B342" s="61">
        <v>3</v>
      </c>
      <c r="C342" s="60"/>
      <c r="D342" s="76"/>
      <c r="E342" s="76"/>
      <c r="F342" s="21"/>
      <c r="G342" s="27"/>
      <c r="H342" s="5"/>
      <c r="I342" s="5"/>
      <c r="J342" s="29"/>
      <c r="K342" s="29"/>
      <c r="L342" s="29"/>
    </row>
    <row r="343" spans="1:12" ht="16.25" customHeight="1" x14ac:dyDescent="0.2">
      <c r="A343" s="10">
        <v>46179</v>
      </c>
      <c r="B343" s="56" t="s">
        <v>20</v>
      </c>
      <c r="C343" s="57"/>
      <c r="D343" s="74"/>
      <c r="E343" s="74"/>
      <c r="F343" s="20"/>
      <c r="G343" s="26"/>
      <c r="H343" s="8"/>
      <c r="I343" s="8"/>
      <c r="J343" s="29"/>
      <c r="K343" s="29"/>
      <c r="L343" s="29"/>
    </row>
    <row r="344" spans="1:12" ht="16.25" customHeight="1" x14ac:dyDescent="0.2">
      <c r="A344" s="10">
        <v>46180</v>
      </c>
      <c r="B344" s="56" t="s">
        <v>20</v>
      </c>
      <c r="C344" s="57"/>
      <c r="D344" s="74"/>
      <c r="E344" s="74"/>
      <c r="F344" s="20"/>
      <c r="G344" s="26"/>
      <c r="H344" s="8"/>
      <c r="I344" s="8"/>
      <c r="J344" s="29"/>
      <c r="K344" s="29"/>
      <c r="L344" s="29"/>
    </row>
    <row r="345" spans="1:12" ht="16.25" customHeight="1" x14ac:dyDescent="0.2">
      <c r="A345" s="10">
        <v>46181</v>
      </c>
      <c r="B345" s="56" t="s">
        <v>17</v>
      </c>
      <c r="C345" s="57"/>
      <c r="D345" s="74"/>
      <c r="E345" s="74"/>
      <c r="F345" s="20"/>
      <c r="G345" s="26"/>
      <c r="H345" s="8"/>
      <c r="I345" s="8"/>
      <c r="J345" s="29"/>
      <c r="K345" s="29"/>
      <c r="L345" s="29"/>
    </row>
    <row r="346" spans="1:12" ht="16.25" customHeight="1" x14ac:dyDescent="0.2">
      <c r="A346" s="17">
        <v>46182</v>
      </c>
      <c r="B346" s="64" t="s">
        <v>114</v>
      </c>
      <c r="C346" s="70" t="s">
        <v>115</v>
      </c>
      <c r="D346" s="79"/>
      <c r="E346" s="79"/>
      <c r="F346" s="22"/>
      <c r="G346" s="28">
        <f>1+SUM(G337:G343)</f>
        <v>40</v>
      </c>
      <c r="H346" s="19"/>
      <c r="I346" s="19"/>
      <c r="J346" s="32"/>
      <c r="K346" s="32"/>
      <c r="L346" s="32"/>
    </row>
    <row r="347" spans="1:12" ht="16.25" customHeight="1" x14ac:dyDescent="0.2">
      <c r="A347" s="7">
        <v>46183</v>
      </c>
      <c r="B347" s="61">
        <v>5</v>
      </c>
      <c r="C347" s="69"/>
      <c r="D347" s="76"/>
      <c r="E347" s="76"/>
      <c r="F347" s="21"/>
      <c r="G347" s="27"/>
      <c r="H347" s="5"/>
      <c r="I347" s="5"/>
      <c r="J347" s="29"/>
      <c r="K347" s="29"/>
      <c r="L347" s="29"/>
    </row>
    <row r="348" spans="1:12" ht="16.25" customHeight="1" x14ac:dyDescent="0.2">
      <c r="A348" s="7">
        <v>46184</v>
      </c>
      <c r="B348" s="61">
        <v>6</v>
      </c>
      <c r="C348" s="69" t="s">
        <v>116</v>
      </c>
      <c r="D348" s="76" t="s">
        <v>281</v>
      </c>
      <c r="E348" s="76"/>
      <c r="F348" s="21">
        <v>28</v>
      </c>
      <c r="G348" s="27"/>
      <c r="H348" s="5"/>
      <c r="I348" s="5"/>
      <c r="J348" s="29"/>
      <c r="K348" s="29"/>
      <c r="L348" s="29"/>
    </row>
    <row r="349" spans="1:12" ht="16.25" customHeight="1" x14ac:dyDescent="0.2">
      <c r="A349" s="37">
        <v>46185</v>
      </c>
      <c r="B349" s="62">
        <v>1</v>
      </c>
      <c r="C349" s="63" t="s">
        <v>117</v>
      </c>
      <c r="D349" s="78"/>
      <c r="E349" s="78"/>
      <c r="F349" s="40"/>
      <c r="G349" s="41"/>
      <c r="H349" s="42"/>
      <c r="I349" s="42"/>
      <c r="J349" s="43"/>
      <c r="K349" s="43"/>
      <c r="L349" s="43" t="s">
        <v>118</v>
      </c>
    </row>
    <row r="350" spans="1:12" ht="16.25" customHeight="1" x14ac:dyDescent="0.2">
      <c r="A350" s="10">
        <v>46186</v>
      </c>
      <c r="B350" s="56" t="s">
        <v>20</v>
      </c>
      <c r="C350" s="57"/>
      <c r="D350" s="74"/>
      <c r="E350" s="74"/>
      <c r="F350" s="20"/>
      <c r="G350" s="26"/>
      <c r="H350" s="8"/>
      <c r="I350" s="8"/>
      <c r="J350" s="29"/>
      <c r="K350" s="29"/>
      <c r="L350" s="29"/>
    </row>
    <row r="351" spans="1:12" ht="16.25" customHeight="1" x14ac:dyDescent="0.2">
      <c r="A351" s="10">
        <v>46187</v>
      </c>
      <c r="B351" s="56" t="s">
        <v>20</v>
      </c>
      <c r="C351" s="57"/>
      <c r="D351" s="74"/>
      <c r="E351" s="74"/>
      <c r="F351" s="20"/>
      <c r="G351" s="26"/>
      <c r="H351" s="8"/>
      <c r="I351" s="8"/>
      <c r="J351" s="29"/>
      <c r="K351" s="29"/>
      <c r="L351" s="29"/>
    </row>
    <row r="352" spans="1:12" ht="16.25" customHeight="1" x14ac:dyDescent="0.2">
      <c r="A352" s="10">
        <v>46188</v>
      </c>
      <c r="B352" s="56" t="s">
        <v>17</v>
      </c>
      <c r="C352" s="57"/>
      <c r="D352" s="74"/>
      <c r="E352" s="74"/>
      <c r="F352" s="20"/>
      <c r="G352" s="26"/>
      <c r="H352" s="8"/>
      <c r="I352" s="8"/>
      <c r="J352" s="29"/>
      <c r="K352" s="29"/>
      <c r="L352" s="29"/>
    </row>
    <row r="353" spans="1:12" ht="16.25" customHeight="1" x14ac:dyDescent="0.2">
      <c r="A353" s="46">
        <v>46189</v>
      </c>
      <c r="B353" s="66" t="s">
        <v>51</v>
      </c>
      <c r="C353" s="67" t="s">
        <v>119</v>
      </c>
      <c r="D353" s="80"/>
      <c r="E353" s="80"/>
      <c r="F353" s="48"/>
      <c r="G353" s="49"/>
      <c r="H353" s="50"/>
      <c r="I353" s="50"/>
      <c r="J353" s="51"/>
      <c r="K353" s="51"/>
      <c r="L353" s="51" t="s">
        <v>120</v>
      </c>
    </row>
    <row r="354" spans="1:12" ht="16.25" customHeight="1" x14ac:dyDescent="0.2">
      <c r="A354" s="7">
        <v>46190</v>
      </c>
      <c r="B354" s="58" t="s">
        <v>23</v>
      </c>
      <c r="C354" s="60" t="s">
        <v>121</v>
      </c>
      <c r="D354" s="76"/>
      <c r="E354" s="76"/>
      <c r="F354" s="21"/>
      <c r="G354" s="27"/>
      <c r="H354" s="5"/>
      <c r="I354" s="5"/>
      <c r="J354" s="29" t="s">
        <v>122</v>
      </c>
      <c r="K354" s="29" t="s">
        <v>123</v>
      </c>
      <c r="L354" s="29" t="s">
        <v>120</v>
      </c>
    </row>
    <row r="355" spans="1:12" ht="16.25" customHeight="1" x14ac:dyDescent="0.2">
      <c r="A355" s="7">
        <v>46191</v>
      </c>
      <c r="B355" s="58" t="s">
        <v>23</v>
      </c>
      <c r="C355" s="59" t="s">
        <v>124</v>
      </c>
      <c r="D355" s="75"/>
      <c r="E355" s="75"/>
      <c r="F355" s="21"/>
      <c r="G355" s="27"/>
      <c r="H355" s="5"/>
      <c r="I355" s="5"/>
      <c r="J355" s="29"/>
      <c r="K355" s="29" t="s">
        <v>125</v>
      </c>
      <c r="L355" s="29" t="s">
        <v>120</v>
      </c>
    </row>
    <row r="356" spans="1:12" ht="16.25" customHeight="1" x14ac:dyDescent="0.2">
      <c r="A356" s="7">
        <v>46192</v>
      </c>
      <c r="B356" s="58" t="s">
        <v>23</v>
      </c>
      <c r="C356" s="59" t="s">
        <v>126</v>
      </c>
      <c r="D356" s="75"/>
      <c r="E356" s="75"/>
      <c r="F356" s="21"/>
      <c r="G356" s="27"/>
      <c r="H356" s="5"/>
      <c r="I356" s="5"/>
      <c r="J356" s="29"/>
      <c r="K356" s="29" t="s">
        <v>127</v>
      </c>
      <c r="L356" s="29" t="s">
        <v>120</v>
      </c>
    </row>
    <row r="357" spans="1:12" ht="16.25" customHeight="1" x14ac:dyDescent="0.2">
      <c r="A357" s="10">
        <v>46193</v>
      </c>
      <c r="B357" s="56" t="s">
        <v>20</v>
      </c>
      <c r="C357" s="57"/>
      <c r="D357" s="74"/>
      <c r="E357" s="74"/>
      <c r="F357" s="20"/>
      <c r="G357" s="26"/>
      <c r="H357" s="8"/>
      <c r="I357" s="8"/>
      <c r="J357" s="29"/>
      <c r="K357" s="29"/>
      <c r="L357" s="29"/>
    </row>
    <row r="358" spans="1:12" ht="16.25" customHeight="1" x14ac:dyDescent="0.2">
      <c r="A358" s="10">
        <v>46194</v>
      </c>
      <c r="B358" s="56" t="s">
        <v>20</v>
      </c>
      <c r="C358" s="57"/>
      <c r="D358" s="74"/>
      <c r="E358" s="74"/>
      <c r="F358" s="20"/>
      <c r="G358" s="26"/>
      <c r="H358" s="8"/>
      <c r="I358" s="8"/>
      <c r="J358" s="29"/>
      <c r="K358" s="29"/>
      <c r="L358" s="29"/>
    </row>
    <row r="359" spans="1:12" ht="16.25" customHeight="1" x14ac:dyDescent="0.2">
      <c r="A359" s="7">
        <v>46195</v>
      </c>
      <c r="B359" s="58" t="s">
        <v>23</v>
      </c>
      <c r="C359" s="60" t="s">
        <v>124</v>
      </c>
      <c r="D359" s="76"/>
      <c r="E359" s="76"/>
      <c r="F359" s="21"/>
      <c r="G359" s="27"/>
      <c r="H359" s="5"/>
      <c r="I359" s="5"/>
      <c r="J359" s="29"/>
      <c r="K359" s="29"/>
      <c r="L359" s="29"/>
    </row>
    <row r="360" spans="1:12" ht="16.25" customHeight="1" x14ac:dyDescent="0.2">
      <c r="A360" s="7">
        <v>46196</v>
      </c>
      <c r="B360" s="58" t="s">
        <v>23</v>
      </c>
      <c r="C360" s="60" t="s">
        <v>124</v>
      </c>
      <c r="D360" s="76"/>
      <c r="E360" s="76"/>
      <c r="F360" s="21"/>
      <c r="G360" s="27"/>
      <c r="H360" s="5"/>
      <c r="I360" s="5"/>
      <c r="J360" s="29" t="s">
        <v>128</v>
      </c>
      <c r="K360" s="29"/>
      <c r="L360" s="29"/>
    </row>
    <row r="361" spans="1:12" ht="16.25" customHeight="1" x14ac:dyDescent="0.2">
      <c r="A361" s="7">
        <v>46197</v>
      </c>
      <c r="B361" s="58" t="s">
        <v>23</v>
      </c>
      <c r="C361" s="60" t="s">
        <v>124</v>
      </c>
      <c r="D361" s="76"/>
      <c r="E361" s="76"/>
      <c r="F361" s="21"/>
      <c r="G361" s="27"/>
      <c r="H361" s="5"/>
      <c r="I361" s="5"/>
      <c r="J361" s="29" t="s">
        <v>129</v>
      </c>
      <c r="K361" s="29"/>
      <c r="L361" s="29"/>
    </row>
    <row r="362" spans="1:12" ht="16.25" customHeight="1" x14ac:dyDescent="0.2">
      <c r="A362" s="7">
        <v>46198</v>
      </c>
      <c r="B362" s="58" t="s">
        <v>23</v>
      </c>
      <c r="C362" s="60" t="s">
        <v>124</v>
      </c>
      <c r="D362" s="76"/>
      <c r="E362" s="76"/>
      <c r="F362" s="21"/>
      <c r="G362" s="27"/>
      <c r="H362" s="5"/>
      <c r="I362" s="5"/>
      <c r="J362" s="29"/>
      <c r="K362" s="29"/>
      <c r="L362" s="29"/>
    </row>
    <row r="363" spans="1:12" ht="16.25" customHeight="1" x14ac:dyDescent="0.2">
      <c r="A363" s="7">
        <v>46199</v>
      </c>
      <c r="B363" s="58" t="s">
        <v>23</v>
      </c>
      <c r="C363" s="69" t="s">
        <v>130</v>
      </c>
      <c r="D363" s="76"/>
      <c r="E363" s="76"/>
      <c r="F363" s="21"/>
      <c r="G363" s="27"/>
      <c r="H363" s="5"/>
      <c r="I363" s="5"/>
      <c r="J363" s="29"/>
      <c r="K363" s="29"/>
      <c r="L363" s="29"/>
    </row>
    <row r="364" spans="1:12" ht="16.25" customHeight="1" x14ac:dyDescent="0.2">
      <c r="A364" s="10">
        <v>46200</v>
      </c>
      <c r="B364" s="56" t="s">
        <v>20</v>
      </c>
      <c r="C364" s="57"/>
      <c r="D364" s="74"/>
      <c r="E364" s="74"/>
      <c r="F364" s="20"/>
      <c r="G364" s="26"/>
      <c r="H364" s="8"/>
      <c r="I364" s="8"/>
      <c r="J364" s="29"/>
      <c r="K364" s="29"/>
      <c r="L364" s="29"/>
    </row>
    <row r="365" spans="1:12" ht="16.25" customHeight="1" x14ac:dyDescent="0.2">
      <c r="A365" s="10">
        <v>46201</v>
      </c>
      <c r="B365" s="56" t="s">
        <v>20</v>
      </c>
      <c r="C365" s="57"/>
      <c r="D365" s="74"/>
      <c r="E365" s="74"/>
      <c r="F365" s="20"/>
      <c r="G365" s="26"/>
      <c r="H365" s="8"/>
      <c r="I365" s="8"/>
      <c r="J365" s="29"/>
      <c r="K365" s="29"/>
      <c r="L365" s="29"/>
    </row>
    <row r="366" spans="1:12" ht="16.25" customHeight="1" x14ac:dyDescent="0.2">
      <c r="A366" s="10">
        <v>46202</v>
      </c>
      <c r="B366" s="56" t="s">
        <v>17</v>
      </c>
      <c r="C366" s="57"/>
      <c r="D366" s="74"/>
      <c r="E366" s="74"/>
      <c r="F366" s="20"/>
      <c r="G366" s="26"/>
      <c r="H366" s="8"/>
      <c r="I366" s="8"/>
      <c r="J366" s="29"/>
      <c r="K366" s="29"/>
      <c r="L366" s="29"/>
    </row>
    <row r="367" spans="1:12" ht="16.25" customHeight="1" x14ac:dyDescent="0.2">
      <c r="A367" s="7">
        <v>46203</v>
      </c>
      <c r="B367" s="58" t="s">
        <v>23</v>
      </c>
      <c r="C367" s="60" t="s">
        <v>129</v>
      </c>
      <c r="D367" s="76"/>
      <c r="E367" s="76"/>
      <c r="F367" s="21"/>
      <c r="G367" s="27"/>
      <c r="H367" s="5"/>
      <c r="I367" s="5"/>
      <c r="J367" s="29"/>
      <c r="K367" s="29"/>
      <c r="L367" s="29"/>
    </row>
    <row r="368" spans="1:12" ht="16.25" customHeight="1" x14ac:dyDescent="0.2">
      <c r="A368" s="7">
        <v>46204</v>
      </c>
      <c r="B368" s="58" t="s">
        <v>18</v>
      </c>
      <c r="C368" s="59" t="s">
        <v>19</v>
      </c>
      <c r="D368" s="75"/>
      <c r="E368" s="75"/>
      <c r="F368" s="21"/>
      <c r="G368" s="27"/>
      <c r="H368" s="5"/>
      <c r="I368" s="5"/>
      <c r="J368" s="29"/>
      <c r="K368" s="29"/>
      <c r="L368" s="29"/>
    </row>
    <row r="369" spans="1:12" ht="16.25" customHeight="1" x14ac:dyDescent="0.2">
      <c r="A369" s="7">
        <v>46205</v>
      </c>
      <c r="B369" s="58" t="s">
        <v>18</v>
      </c>
      <c r="C369" s="59" t="s">
        <v>19</v>
      </c>
      <c r="D369" s="75"/>
      <c r="E369" s="75"/>
      <c r="F369" s="21"/>
      <c r="G369" s="27"/>
      <c r="H369" s="5"/>
      <c r="I369" s="5"/>
      <c r="J369" s="29"/>
      <c r="K369" s="29"/>
      <c r="L369" s="29"/>
    </row>
    <row r="370" spans="1:12" ht="16.25" customHeight="1" x14ac:dyDescent="0.2">
      <c r="A370" s="7">
        <v>46206</v>
      </c>
      <c r="B370" s="58" t="s">
        <v>18</v>
      </c>
      <c r="C370" s="59" t="s">
        <v>19</v>
      </c>
      <c r="D370" s="75"/>
      <c r="E370" s="75"/>
      <c r="F370" s="21"/>
      <c r="G370" s="27"/>
      <c r="H370" s="5"/>
      <c r="I370" s="5"/>
      <c r="J370" s="29"/>
      <c r="K370" s="29"/>
      <c r="L370" s="29"/>
    </row>
    <row r="371" spans="1:12" ht="16.25" customHeight="1" x14ac:dyDescent="0.2">
      <c r="A371" s="10">
        <v>46207</v>
      </c>
      <c r="B371" s="56" t="s">
        <v>20</v>
      </c>
      <c r="C371" s="57"/>
      <c r="D371" s="74"/>
      <c r="E371" s="74"/>
      <c r="F371" s="20"/>
      <c r="G371" s="26"/>
      <c r="H371" s="8"/>
      <c r="I371" s="8"/>
      <c r="J371" s="29"/>
      <c r="K371" s="29"/>
      <c r="L371" s="29"/>
    </row>
    <row r="372" spans="1:12" ht="16.25" customHeight="1" x14ac:dyDescent="0.2">
      <c r="A372" s="10">
        <v>46208</v>
      </c>
      <c r="B372" s="56" t="s">
        <v>20</v>
      </c>
      <c r="C372" s="57"/>
      <c r="D372" s="74"/>
      <c r="E372" s="74"/>
      <c r="F372" s="20"/>
      <c r="G372" s="26"/>
      <c r="H372" s="8"/>
      <c r="I372" s="8"/>
      <c r="J372" s="29"/>
      <c r="K372" s="29"/>
      <c r="L372" s="29"/>
    </row>
    <row r="373" spans="1:12" ht="16.25" customHeight="1" x14ac:dyDescent="0.2">
      <c r="A373" s="7">
        <v>46209</v>
      </c>
      <c r="B373" s="58" t="s">
        <v>18</v>
      </c>
      <c r="C373" s="59" t="s">
        <v>19</v>
      </c>
      <c r="D373" s="75"/>
      <c r="E373" s="75"/>
      <c r="F373" s="21"/>
      <c r="G373" s="27"/>
      <c r="H373" s="5"/>
      <c r="I373" s="5"/>
      <c r="J373" s="29"/>
      <c r="K373" s="29"/>
      <c r="L373" s="29"/>
    </row>
    <row r="374" spans="1:12" ht="16.25" customHeight="1" x14ac:dyDescent="0.2">
      <c r="A374" s="7">
        <v>46210</v>
      </c>
      <c r="B374" s="58" t="s">
        <v>18</v>
      </c>
      <c r="C374" s="59" t="s">
        <v>19</v>
      </c>
      <c r="D374" s="75"/>
      <c r="E374" s="75"/>
      <c r="F374" s="21"/>
      <c r="G374" s="27"/>
      <c r="H374" s="5"/>
      <c r="I374" s="5"/>
      <c r="J374" s="29"/>
      <c r="K374" s="29"/>
      <c r="L374" s="29"/>
    </row>
    <row r="375" spans="1:12" ht="16.25" customHeight="1" x14ac:dyDescent="0.2">
      <c r="A375" s="7">
        <v>46211</v>
      </c>
      <c r="B375" s="58" t="s">
        <v>18</v>
      </c>
      <c r="C375" s="59" t="s">
        <v>19</v>
      </c>
      <c r="D375" s="75"/>
      <c r="E375" s="75"/>
      <c r="F375" s="21"/>
      <c r="G375" s="27"/>
      <c r="H375" s="5"/>
      <c r="I375" s="5"/>
      <c r="J375" s="29"/>
      <c r="K375" s="29"/>
      <c r="L375" s="29"/>
    </row>
    <row r="376" spans="1:12" ht="16.25" customHeight="1" x14ac:dyDescent="0.2">
      <c r="A376" s="7">
        <v>46212</v>
      </c>
      <c r="B376" s="58" t="s">
        <v>18</v>
      </c>
      <c r="C376" s="59" t="s">
        <v>19</v>
      </c>
      <c r="D376" s="75"/>
      <c r="E376" s="75"/>
      <c r="F376" s="21"/>
      <c r="G376" s="27"/>
      <c r="H376" s="5"/>
      <c r="I376" s="5"/>
      <c r="J376" s="29"/>
      <c r="K376" s="29"/>
      <c r="L376" s="29"/>
    </row>
    <row r="377" spans="1:12" ht="16.25" customHeight="1" x14ac:dyDescent="0.2">
      <c r="A377" s="7">
        <v>46213</v>
      </c>
      <c r="B377" s="58" t="s">
        <v>18</v>
      </c>
      <c r="C377" s="59" t="s">
        <v>19</v>
      </c>
      <c r="D377" s="75"/>
      <c r="E377" s="75"/>
      <c r="F377" s="21"/>
      <c r="G377" s="27"/>
      <c r="H377" s="5"/>
      <c r="I377" s="5"/>
      <c r="J377" s="29"/>
      <c r="K377" s="29"/>
      <c r="L377" s="29"/>
    </row>
    <row r="378" spans="1:12" ht="16.25" customHeight="1" x14ac:dyDescent="0.2">
      <c r="A378" s="10">
        <v>46214</v>
      </c>
      <c r="B378" s="56" t="s">
        <v>20</v>
      </c>
      <c r="C378" s="57"/>
      <c r="D378" s="74"/>
      <c r="E378" s="74"/>
      <c r="F378" s="20"/>
      <c r="G378" s="26"/>
      <c r="H378" s="8"/>
      <c r="I378" s="8"/>
      <c r="J378" s="29"/>
      <c r="K378" s="29"/>
      <c r="L378" s="29"/>
    </row>
    <row r="379" spans="1:12" ht="16.25" customHeight="1" x14ac:dyDescent="0.2">
      <c r="A379" s="10">
        <v>46215</v>
      </c>
      <c r="B379" s="56" t="s">
        <v>20</v>
      </c>
      <c r="C379" s="57"/>
      <c r="D379" s="74"/>
      <c r="E379" s="74"/>
      <c r="F379" s="20"/>
      <c r="G379" s="26"/>
      <c r="H379" s="8"/>
      <c r="I379" s="8"/>
      <c r="J379" s="29"/>
      <c r="K379" s="29"/>
      <c r="L379" s="29"/>
    </row>
    <row r="380" spans="1:12" ht="16.25" customHeight="1" x14ac:dyDescent="0.2">
      <c r="A380" s="7">
        <v>46216</v>
      </c>
      <c r="B380" s="58" t="s">
        <v>18</v>
      </c>
      <c r="C380" s="59" t="s">
        <v>19</v>
      </c>
      <c r="D380" s="75"/>
      <c r="E380" s="75"/>
      <c r="F380" s="21"/>
      <c r="G380" s="27"/>
      <c r="H380" s="5"/>
      <c r="I380" s="5"/>
      <c r="J380" s="29"/>
      <c r="K380" s="29"/>
      <c r="L380" s="29"/>
    </row>
    <row r="381" spans="1:12" ht="16.25" customHeight="1" x14ac:dyDescent="0.2">
      <c r="A381" s="7">
        <v>46217</v>
      </c>
      <c r="B381" s="58" t="s">
        <v>18</v>
      </c>
      <c r="C381" s="59" t="s">
        <v>19</v>
      </c>
      <c r="D381" s="75"/>
      <c r="E381" s="75"/>
      <c r="F381" s="21"/>
      <c r="G381" s="27"/>
      <c r="H381" s="5"/>
      <c r="I381" s="5"/>
      <c r="J381" s="29"/>
      <c r="K381" s="29"/>
      <c r="L381" s="29"/>
    </row>
    <row r="382" spans="1:12" ht="16.25" customHeight="1" x14ac:dyDescent="0.2">
      <c r="A382" s="7">
        <v>46218</v>
      </c>
      <c r="B382" s="58" t="s">
        <v>18</v>
      </c>
      <c r="C382" s="59" t="s">
        <v>19</v>
      </c>
      <c r="D382" s="75"/>
      <c r="E382" s="75"/>
      <c r="F382" s="21"/>
      <c r="G382" s="27"/>
      <c r="H382" s="5"/>
      <c r="I382" s="5"/>
      <c r="J382" s="29"/>
      <c r="K382" s="29"/>
      <c r="L382" s="29"/>
    </row>
    <row r="383" spans="1:12" ht="16.25" customHeight="1" x14ac:dyDescent="0.2">
      <c r="A383" s="7">
        <v>46219</v>
      </c>
      <c r="B383" s="58" t="s">
        <v>18</v>
      </c>
      <c r="C383" s="59" t="s">
        <v>19</v>
      </c>
      <c r="D383" s="75"/>
      <c r="E383" s="75"/>
      <c r="F383" s="21"/>
      <c r="G383" s="27"/>
      <c r="H383" s="5"/>
      <c r="I383" s="5"/>
      <c r="J383" s="29"/>
      <c r="K383" s="29"/>
      <c r="L383" s="29"/>
    </row>
    <row r="384" spans="1:12" ht="16.25" customHeight="1" x14ac:dyDescent="0.2">
      <c r="A384" s="7">
        <v>46220</v>
      </c>
      <c r="B384" s="58" t="s">
        <v>18</v>
      </c>
      <c r="C384" s="59" t="s">
        <v>19</v>
      </c>
      <c r="D384" s="75"/>
      <c r="E384" s="75"/>
      <c r="F384" s="21"/>
      <c r="G384" s="27"/>
      <c r="H384" s="5"/>
      <c r="I384" s="5"/>
      <c r="J384" s="29"/>
      <c r="K384" s="29"/>
      <c r="L384" s="29"/>
    </row>
    <row r="385" spans="1:12" ht="16.25" customHeight="1" x14ac:dyDescent="0.2">
      <c r="A385" s="10">
        <v>46221</v>
      </c>
      <c r="B385" s="56" t="s">
        <v>20</v>
      </c>
      <c r="C385" s="57"/>
      <c r="D385" s="74"/>
      <c r="E385" s="74"/>
      <c r="F385" s="20"/>
      <c r="G385" s="26"/>
      <c r="H385" s="8"/>
      <c r="I385" s="8"/>
      <c r="J385" s="29"/>
      <c r="K385" s="29"/>
      <c r="L385" s="29"/>
    </row>
    <row r="386" spans="1:12" ht="16.25" customHeight="1" x14ac:dyDescent="0.2">
      <c r="A386" s="10">
        <v>46222</v>
      </c>
      <c r="B386" s="56" t="s">
        <v>20</v>
      </c>
      <c r="C386" s="57"/>
      <c r="D386" s="74"/>
      <c r="E386" s="74"/>
      <c r="F386" s="20"/>
      <c r="G386" s="26"/>
      <c r="H386" s="8"/>
      <c r="I386" s="8"/>
      <c r="J386" s="29"/>
      <c r="K386" s="29"/>
      <c r="L386" s="29"/>
    </row>
    <row r="387" spans="1:12" ht="16.25" customHeight="1" x14ac:dyDescent="0.2">
      <c r="A387" s="10">
        <v>46223</v>
      </c>
      <c r="B387" s="56" t="s">
        <v>17</v>
      </c>
      <c r="C387" s="57"/>
      <c r="D387" s="74"/>
      <c r="E387" s="74"/>
      <c r="F387" s="20"/>
      <c r="G387" s="26"/>
      <c r="H387" s="8"/>
      <c r="I387" s="8"/>
      <c r="J387" s="29"/>
      <c r="K387" s="29"/>
      <c r="L387" s="29"/>
    </row>
    <row r="388" spans="1:12" ht="16.25" customHeight="1" x14ac:dyDescent="0.2">
      <c r="A388" s="7">
        <v>46224</v>
      </c>
      <c r="B388" s="58" t="s">
        <v>21</v>
      </c>
      <c r="C388" s="59" t="s">
        <v>22</v>
      </c>
      <c r="D388" s="75"/>
      <c r="E388" s="75"/>
      <c r="F388" s="21"/>
      <c r="G388" s="27"/>
      <c r="H388" s="5"/>
      <c r="I388" s="5"/>
      <c r="J388" s="29"/>
      <c r="K388" s="29"/>
      <c r="L388" s="29"/>
    </row>
    <row r="389" spans="1:12" ht="16.25" customHeight="1" x14ac:dyDescent="0.2">
      <c r="A389" s="7">
        <v>46225</v>
      </c>
      <c r="B389" s="58" t="s">
        <v>21</v>
      </c>
      <c r="C389" s="60"/>
      <c r="D389" s="76"/>
      <c r="E389" s="76"/>
      <c r="F389" s="21"/>
      <c r="G389" s="27"/>
      <c r="H389" s="5"/>
      <c r="I389" s="5"/>
      <c r="J389" s="29"/>
      <c r="K389" s="29"/>
      <c r="L389" s="29"/>
    </row>
    <row r="390" spans="1:12" ht="16.25" customHeight="1" x14ac:dyDescent="0.2">
      <c r="A390" s="7">
        <v>46226</v>
      </c>
      <c r="B390" s="58" t="s">
        <v>21</v>
      </c>
      <c r="C390" s="60"/>
      <c r="D390" s="76"/>
      <c r="E390" s="76"/>
      <c r="F390" s="21"/>
      <c r="G390" s="27"/>
      <c r="H390" s="5"/>
      <c r="I390" s="5"/>
      <c r="J390" s="29"/>
      <c r="K390" s="29"/>
      <c r="L390" s="29"/>
    </row>
    <row r="391" spans="1:12" ht="16.25" customHeight="1" x14ac:dyDescent="0.2">
      <c r="A391" s="7">
        <v>46227</v>
      </c>
      <c r="B391" s="58" t="s">
        <v>21</v>
      </c>
      <c r="C391" s="60"/>
      <c r="D391" s="76"/>
      <c r="E391" s="76"/>
      <c r="F391" s="21"/>
      <c r="G391" s="27"/>
      <c r="H391" s="5"/>
      <c r="I391" s="5"/>
      <c r="J391" s="29"/>
      <c r="K391" s="29"/>
      <c r="L391" s="29"/>
    </row>
    <row r="392" spans="1:12" ht="16.25" customHeight="1" x14ac:dyDescent="0.2">
      <c r="A392" s="10">
        <v>46228</v>
      </c>
      <c r="B392" s="56" t="s">
        <v>20</v>
      </c>
      <c r="C392" s="57"/>
      <c r="D392" s="74"/>
      <c r="E392" s="74"/>
      <c r="F392" s="20"/>
      <c r="G392" s="26"/>
      <c r="H392" s="8"/>
      <c r="I392" s="8"/>
      <c r="J392" s="29"/>
      <c r="K392" s="29"/>
      <c r="L392" s="29"/>
    </row>
    <row r="393" spans="1:12" ht="16.25" customHeight="1" x14ac:dyDescent="0.2">
      <c r="A393" s="10">
        <v>46229</v>
      </c>
      <c r="B393" s="56" t="s">
        <v>20</v>
      </c>
      <c r="C393" s="57"/>
      <c r="D393" s="74"/>
      <c r="E393" s="74"/>
      <c r="F393" s="20"/>
      <c r="G393" s="26"/>
      <c r="H393" s="8"/>
      <c r="I393" s="8"/>
      <c r="J393" s="29"/>
      <c r="K393" s="29"/>
      <c r="L393" s="29"/>
    </row>
    <row r="394" spans="1:12" ht="16.25" customHeight="1" x14ac:dyDescent="0.2">
      <c r="A394" s="7">
        <v>46230</v>
      </c>
      <c r="B394" s="58" t="s">
        <v>21</v>
      </c>
      <c r="C394" s="60" t="s">
        <v>24</v>
      </c>
      <c r="D394" s="76"/>
      <c r="E394" s="76"/>
      <c r="F394" s="21"/>
      <c r="G394" s="27"/>
      <c r="H394" s="5"/>
      <c r="I394" s="5"/>
      <c r="J394" s="29"/>
      <c r="K394" s="29"/>
      <c r="L394" s="29"/>
    </row>
    <row r="395" spans="1:12" ht="16.25" customHeight="1" x14ac:dyDescent="0.2">
      <c r="A395" s="7">
        <v>46231</v>
      </c>
      <c r="B395" s="58" t="s">
        <v>21</v>
      </c>
      <c r="C395" s="60"/>
      <c r="D395" s="76"/>
      <c r="E395" s="76"/>
      <c r="F395" s="21"/>
      <c r="G395" s="27"/>
      <c r="H395" s="5"/>
      <c r="I395" s="5"/>
      <c r="J395" s="29"/>
      <c r="K395" s="29"/>
      <c r="L395" s="29"/>
    </row>
    <row r="396" spans="1:12" ht="16.25" customHeight="1" x14ac:dyDescent="0.2">
      <c r="A396" s="7">
        <v>46232</v>
      </c>
      <c r="B396" s="58" t="s">
        <v>21</v>
      </c>
      <c r="C396" s="60" t="s">
        <v>25</v>
      </c>
      <c r="D396" s="76"/>
      <c r="E396" s="76"/>
      <c r="F396" s="21"/>
      <c r="G396" s="27"/>
      <c r="H396" s="5"/>
      <c r="I396" s="5"/>
      <c r="J396" s="29"/>
      <c r="K396" s="29"/>
      <c r="L396" s="29"/>
    </row>
    <row r="397" spans="1:12" ht="16.25" customHeight="1" x14ac:dyDescent="0.2">
      <c r="A397" s="7">
        <v>46233</v>
      </c>
      <c r="B397" s="58" t="s">
        <v>21</v>
      </c>
      <c r="C397" s="60"/>
      <c r="D397" s="76"/>
      <c r="E397" s="76"/>
      <c r="F397" s="21"/>
      <c r="G397" s="27"/>
      <c r="H397" s="5"/>
      <c r="I397" s="5"/>
      <c r="J397" s="29"/>
      <c r="K397" s="29"/>
      <c r="L397" s="29"/>
    </row>
    <row r="398" spans="1:12" ht="16.25" customHeight="1" x14ac:dyDescent="0.2">
      <c r="A398" s="7">
        <v>46234</v>
      </c>
      <c r="B398" s="58" t="s">
        <v>21</v>
      </c>
      <c r="C398" s="60"/>
      <c r="D398" s="76"/>
      <c r="E398" s="76"/>
      <c r="F398" s="21"/>
      <c r="G398" s="27"/>
      <c r="H398" s="5"/>
      <c r="I398" s="5"/>
      <c r="J398" s="29"/>
      <c r="K398" s="29"/>
      <c r="L398" s="29"/>
    </row>
    <row r="399" spans="1:12" ht="16.25" customHeight="1" x14ac:dyDescent="0.2">
      <c r="A399" s="10">
        <v>46235</v>
      </c>
      <c r="B399" s="56" t="s">
        <v>20</v>
      </c>
      <c r="C399" s="71"/>
      <c r="D399" s="81"/>
      <c r="E399" s="81"/>
      <c r="F399" s="35"/>
      <c r="G399" s="26"/>
      <c r="H399" s="8"/>
      <c r="I399" s="8"/>
      <c r="J399" s="36"/>
      <c r="K399" s="36"/>
      <c r="L399" s="36"/>
    </row>
    <row r="400" spans="1:12" ht="16.25" customHeight="1" x14ac:dyDescent="0.2">
      <c r="A400" s="10">
        <v>46236</v>
      </c>
      <c r="B400" s="56" t="s">
        <v>20</v>
      </c>
      <c r="C400" s="71"/>
      <c r="D400" s="81"/>
      <c r="E400" s="81"/>
      <c r="F400" s="35"/>
      <c r="G400" s="26"/>
      <c r="H400" s="8"/>
      <c r="I400" s="8"/>
      <c r="J400" s="36"/>
      <c r="K400" s="36"/>
      <c r="L400" s="36"/>
    </row>
    <row r="401" spans="1:12" ht="16.25" customHeight="1" x14ac:dyDescent="0.2">
      <c r="A401" s="7">
        <v>46237</v>
      </c>
      <c r="B401" s="58" t="s">
        <v>23</v>
      </c>
      <c r="C401" s="69"/>
      <c r="D401" s="82"/>
      <c r="E401" s="82"/>
      <c r="F401" s="31"/>
      <c r="G401" s="27"/>
      <c r="H401" s="5"/>
      <c r="I401" s="5"/>
      <c r="J401" s="29"/>
      <c r="K401" s="29"/>
      <c r="L401" s="29"/>
    </row>
    <row r="402" spans="1:12" ht="16.25" customHeight="1" x14ac:dyDescent="0.2">
      <c r="A402" s="7">
        <v>46238</v>
      </c>
      <c r="B402" s="58"/>
      <c r="C402" s="69"/>
      <c r="D402" s="82"/>
      <c r="E402" s="82"/>
      <c r="F402" s="31"/>
      <c r="G402" s="27"/>
      <c r="H402" s="5"/>
      <c r="I402" s="5"/>
      <c r="J402" s="29"/>
      <c r="K402" s="29"/>
      <c r="L402" s="29"/>
    </row>
    <row r="403" spans="1:12" ht="16.25" customHeight="1" x14ac:dyDescent="0.2">
      <c r="A403" s="7">
        <v>46239</v>
      </c>
      <c r="B403" s="58"/>
      <c r="C403" s="69"/>
      <c r="D403" s="82"/>
      <c r="E403" s="82"/>
      <c r="F403" s="31"/>
      <c r="G403" s="27"/>
      <c r="H403" s="5"/>
      <c r="I403" s="5"/>
      <c r="J403" s="29"/>
      <c r="K403" s="29"/>
      <c r="L403" s="29"/>
    </row>
    <row r="404" spans="1:12" ht="16.25" customHeight="1" x14ac:dyDescent="0.2">
      <c r="A404" s="7">
        <v>46240</v>
      </c>
      <c r="B404" s="58"/>
      <c r="C404" s="69"/>
      <c r="D404" s="82"/>
      <c r="E404" s="82"/>
      <c r="F404" s="31"/>
      <c r="G404" s="27"/>
      <c r="H404" s="5"/>
      <c r="I404" s="5"/>
      <c r="J404" s="29"/>
      <c r="K404" s="29"/>
      <c r="L404" s="29"/>
    </row>
    <row r="405" spans="1:12" ht="16.25" customHeight="1" x14ac:dyDescent="0.2">
      <c r="A405" s="10">
        <v>46241</v>
      </c>
      <c r="B405" s="56" t="s">
        <v>17</v>
      </c>
      <c r="C405" s="71"/>
      <c r="D405" s="81"/>
      <c r="E405" s="81"/>
      <c r="F405" s="35"/>
      <c r="G405" s="26"/>
      <c r="H405" s="8"/>
      <c r="I405" s="8"/>
      <c r="J405" s="36"/>
      <c r="K405" s="36"/>
      <c r="L405" s="36"/>
    </row>
    <row r="406" spans="1:12" ht="16.25" customHeight="1" x14ac:dyDescent="0.2">
      <c r="A406" s="10">
        <v>46242</v>
      </c>
      <c r="B406" s="56" t="s">
        <v>20</v>
      </c>
      <c r="C406" s="71"/>
      <c r="D406" s="81"/>
      <c r="E406" s="81"/>
      <c r="F406" s="35"/>
      <c r="G406" s="26"/>
      <c r="H406" s="8"/>
      <c r="I406" s="8"/>
      <c r="J406" s="36"/>
      <c r="K406" s="36"/>
      <c r="L406" s="36"/>
    </row>
    <row r="407" spans="1:12" ht="16.25" customHeight="1" x14ac:dyDescent="0.2">
      <c r="A407" s="10">
        <v>46243</v>
      </c>
      <c r="B407" s="56" t="s">
        <v>20</v>
      </c>
      <c r="C407" s="71"/>
      <c r="D407" s="81"/>
      <c r="E407" s="81"/>
      <c r="F407" s="35"/>
      <c r="G407" s="26"/>
      <c r="H407" s="8"/>
      <c r="I407" s="8"/>
      <c r="J407" s="36"/>
      <c r="K407" s="36"/>
      <c r="L407" s="36"/>
    </row>
    <row r="408" spans="1:12" ht="16.25" customHeight="1" x14ac:dyDescent="0.2">
      <c r="A408" s="7">
        <v>46244</v>
      </c>
      <c r="B408" s="58"/>
      <c r="C408" s="69"/>
      <c r="D408" s="82"/>
      <c r="E408" s="82"/>
      <c r="F408" s="31"/>
      <c r="G408" s="27"/>
      <c r="H408" s="5"/>
      <c r="I408" s="5"/>
      <c r="J408" s="29"/>
      <c r="K408" s="29"/>
      <c r="L408" s="29"/>
    </row>
  </sheetData>
  <sheetProtection sort="0" autoFilter="0"/>
  <conditionalFormatting sqref="A2:A408">
    <cfRule type="expression" dxfId="2" priority="1">
      <formula>WEEKDAY(A2,2)&gt;5</formula>
    </cfRule>
  </conditionalFormatting>
  <pageMargins left="0.7" right="0.7" top="0.75" bottom="0.75" header="0.3" footer="0.3"/>
  <pageSetup scale="80" fitToWidth="0" fitToHeight="0" orientation="landscape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A69C-FA85-4EA6-A087-3EBA56FB99DC}">
  <dimension ref="A1:P408"/>
  <sheetViews>
    <sheetView zoomScaleNormal="100" workbookViewId="0">
      <pane xSplit="1" ySplit="1" topLeftCell="B238" activePane="bottomRight" state="frozen"/>
      <selection pane="topRight" activeCell="B1" sqref="B1"/>
      <selection pane="bottomLeft" activeCell="A2" sqref="A2"/>
      <selection pane="bottomRight" activeCell="D264" sqref="D264"/>
    </sheetView>
  </sheetViews>
  <sheetFormatPr baseColWidth="10" defaultColWidth="8.5" defaultRowHeight="16.25" customHeight="1" x14ac:dyDescent="0.2"/>
  <cols>
    <col min="1" max="1" width="31.5" style="4" customWidth="1"/>
    <col min="2" max="2" width="8.5" style="2" customWidth="1"/>
    <col min="3" max="3" width="25.5" style="72" customWidth="1"/>
    <col min="4" max="5" width="52" style="3" customWidth="1"/>
    <col min="6" max="6" width="4.83203125" style="72" customWidth="1"/>
    <col min="7" max="7" width="4.83203125" style="2" customWidth="1"/>
    <col min="8" max="9" width="7.5" style="2" hidden="1" customWidth="1"/>
    <col min="10" max="10" width="17.5" style="2" hidden="1" customWidth="1"/>
    <col min="11" max="12" width="17.5" hidden="1" customWidth="1"/>
    <col min="13" max="16" width="20.83203125" customWidth="1"/>
    <col min="17" max="28" width="20.83203125" style="1" customWidth="1"/>
    <col min="29" max="16384" width="8.5" style="1"/>
  </cols>
  <sheetData>
    <row r="1" spans="1:16" s="11" customFormat="1" ht="36.5" customHeight="1" x14ac:dyDescent="0.3">
      <c r="A1" s="15" t="s">
        <v>0</v>
      </c>
      <c r="B1" s="54" t="s">
        <v>1</v>
      </c>
      <c r="C1" s="55" t="s">
        <v>131</v>
      </c>
      <c r="D1" s="30" t="s">
        <v>282</v>
      </c>
      <c r="E1" s="30" t="s">
        <v>283</v>
      </c>
      <c r="F1" s="73" t="s">
        <v>10</v>
      </c>
      <c r="G1" s="73" t="s">
        <v>11</v>
      </c>
      <c r="H1" s="12" t="s">
        <v>12</v>
      </c>
      <c r="I1" s="12" t="s">
        <v>13</v>
      </c>
      <c r="J1" s="30" t="s">
        <v>14</v>
      </c>
      <c r="K1" s="30" t="s">
        <v>15</v>
      </c>
      <c r="L1" s="30" t="s">
        <v>16</v>
      </c>
    </row>
    <row r="2" spans="1:16" ht="16.25" customHeight="1" x14ac:dyDescent="0.2">
      <c r="A2" s="10">
        <v>45838</v>
      </c>
      <c r="B2" s="56" t="s">
        <v>17</v>
      </c>
      <c r="C2" s="57"/>
      <c r="D2" s="74"/>
      <c r="E2" s="74"/>
      <c r="F2" s="20"/>
      <c r="G2" s="26"/>
      <c r="H2" s="8"/>
      <c r="I2" s="8"/>
      <c r="J2" s="29"/>
      <c r="K2" s="29"/>
      <c r="L2" s="29"/>
      <c r="P2" s="1"/>
    </row>
    <row r="3" spans="1:16" ht="16.25" customHeight="1" x14ac:dyDescent="0.2">
      <c r="A3" s="7">
        <v>45839</v>
      </c>
      <c r="B3" s="58" t="s">
        <v>18</v>
      </c>
      <c r="C3" s="59" t="s">
        <v>19</v>
      </c>
      <c r="D3" s="75"/>
      <c r="E3" s="75"/>
      <c r="F3" s="21"/>
      <c r="G3" s="27"/>
      <c r="H3" s="5"/>
      <c r="I3" s="5"/>
      <c r="J3" s="29"/>
      <c r="K3" s="29"/>
      <c r="L3" s="29"/>
      <c r="P3" s="1"/>
    </row>
    <row r="4" spans="1:16" ht="16.25" customHeight="1" x14ac:dyDescent="0.2">
      <c r="A4" s="7">
        <v>45840</v>
      </c>
      <c r="B4" s="58" t="s">
        <v>18</v>
      </c>
      <c r="C4" s="59" t="s">
        <v>19</v>
      </c>
      <c r="D4" s="75"/>
      <c r="E4" s="75"/>
      <c r="F4" s="21"/>
      <c r="G4" s="27"/>
      <c r="H4" s="5"/>
      <c r="I4" s="5"/>
      <c r="J4" s="29"/>
      <c r="K4" s="29"/>
      <c r="L4" s="29"/>
      <c r="P4" s="1"/>
    </row>
    <row r="5" spans="1:16" ht="16.25" customHeight="1" x14ac:dyDescent="0.2">
      <c r="A5" s="7">
        <v>45841</v>
      </c>
      <c r="B5" s="58" t="s">
        <v>18</v>
      </c>
      <c r="C5" s="59" t="s">
        <v>19</v>
      </c>
      <c r="D5" s="75"/>
      <c r="E5" s="75"/>
      <c r="F5" s="21"/>
      <c r="G5" s="27"/>
      <c r="H5" s="5"/>
      <c r="I5" s="5"/>
      <c r="J5" s="29"/>
      <c r="K5" s="29"/>
      <c r="L5" s="29"/>
      <c r="P5" s="1"/>
    </row>
    <row r="6" spans="1:16" ht="16.25" customHeight="1" x14ac:dyDescent="0.2">
      <c r="A6" s="7">
        <v>45842</v>
      </c>
      <c r="B6" s="58" t="s">
        <v>18</v>
      </c>
      <c r="C6" s="59" t="s">
        <v>19</v>
      </c>
      <c r="D6" s="75"/>
      <c r="E6" s="75"/>
      <c r="F6" s="21"/>
      <c r="G6" s="27"/>
      <c r="H6" s="5"/>
      <c r="I6" s="5"/>
      <c r="J6" s="29"/>
      <c r="K6" s="29"/>
      <c r="L6" s="29"/>
      <c r="P6" s="1"/>
    </row>
    <row r="7" spans="1:16" ht="16.25" customHeight="1" x14ac:dyDescent="0.2">
      <c r="A7" s="10">
        <v>45843</v>
      </c>
      <c r="B7" s="56" t="s">
        <v>20</v>
      </c>
      <c r="C7" s="57"/>
      <c r="D7" s="74"/>
      <c r="E7" s="74"/>
      <c r="F7" s="20"/>
      <c r="G7" s="26"/>
      <c r="H7" s="8"/>
      <c r="I7" s="8"/>
      <c r="J7" s="29"/>
      <c r="K7" s="29"/>
      <c r="L7" s="29"/>
      <c r="P7" s="1"/>
    </row>
    <row r="8" spans="1:16" ht="16.25" customHeight="1" x14ac:dyDescent="0.2">
      <c r="A8" s="10">
        <v>45844</v>
      </c>
      <c r="B8" s="56" t="s">
        <v>20</v>
      </c>
      <c r="C8" s="57"/>
      <c r="D8" s="74"/>
      <c r="E8" s="74"/>
      <c r="F8" s="20"/>
      <c r="G8" s="26"/>
      <c r="H8" s="8"/>
      <c r="I8" s="8"/>
      <c r="J8" s="29"/>
      <c r="K8" s="29"/>
      <c r="L8" s="29"/>
      <c r="P8" s="1"/>
    </row>
    <row r="9" spans="1:16" ht="16.25" customHeight="1" x14ac:dyDescent="0.2">
      <c r="A9" s="7">
        <v>45845</v>
      </c>
      <c r="B9" s="58" t="s">
        <v>18</v>
      </c>
      <c r="C9" s="59" t="s">
        <v>19</v>
      </c>
      <c r="D9" s="75"/>
      <c r="E9" s="75"/>
      <c r="F9" s="21"/>
      <c r="G9" s="27"/>
      <c r="H9" s="5"/>
      <c r="I9" s="5"/>
      <c r="J9" s="29"/>
      <c r="K9" s="29"/>
      <c r="L9" s="29"/>
      <c r="P9" s="1"/>
    </row>
    <row r="10" spans="1:16" ht="16.25" customHeight="1" x14ac:dyDescent="0.2">
      <c r="A10" s="7">
        <v>45846</v>
      </c>
      <c r="B10" s="58" t="s">
        <v>18</v>
      </c>
      <c r="C10" s="59" t="s">
        <v>19</v>
      </c>
      <c r="D10" s="75"/>
      <c r="E10" s="75"/>
      <c r="F10" s="21"/>
      <c r="G10" s="27"/>
      <c r="H10" s="5"/>
      <c r="I10" s="5"/>
      <c r="J10" s="29"/>
      <c r="K10" s="29"/>
      <c r="L10" s="29"/>
      <c r="P10" s="1"/>
    </row>
    <row r="11" spans="1:16" ht="16.25" customHeight="1" x14ac:dyDescent="0.2">
      <c r="A11" s="7">
        <v>45847</v>
      </c>
      <c r="B11" s="58" t="s">
        <v>18</v>
      </c>
      <c r="C11" s="59" t="s">
        <v>19</v>
      </c>
      <c r="D11" s="75"/>
      <c r="E11" s="75"/>
      <c r="F11" s="21"/>
      <c r="G11" s="27"/>
      <c r="H11" s="5"/>
      <c r="I11" s="5"/>
      <c r="J11" s="29"/>
      <c r="K11" s="29"/>
      <c r="L11" s="29"/>
      <c r="P11" s="1"/>
    </row>
    <row r="12" spans="1:16" ht="16.25" customHeight="1" x14ac:dyDescent="0.2">
      <c r="A12" s="7">
        <v>45848</v>
      </c>
      <c r="B12" s="58" t="s">
        <v>18</v>
      </c>
      <c r="C12" s="59" t="s">
        <v>19</v>
      </c>
      <c r="D12" s="75"/>
      <c r="E12" s="75"/>
      <c r="F12" s="21"/>
      <c r="G12" s="27"/>
      <c r="H12" s="5"/>
      <c r="I12" s="5"/>
      <c r="J12" s="29"/>
      <c r="K12" s="29"/>
      <c r="L12" s="29"/>
      <c r="P12" s="1"/>
    </row>
    <row r="13" spans="1:16" ht="16.25" customHeight="1" x14ac:dyDescent="0.2">
      <c r="A13" s="7">
        <v>45849</v>
      </c>
      <c r="B13" s="58" t="s">
        <v>18</v>
      </c>
      <c r="C13" s="59" t="s">
        <v>19</v>
      </c>
      <c r="D13" s="75"/>
      <c r="E13" s="75"/>
      <c r="F13" s="21"/>
      <c r="G13" s="27"/>
      <c r="H13" s="5"/>
      <c r="I13" s="5"/>
      <c r="J13" s="29"/>
      <c r="K13" s="29"/>
      <c r="L13" s="29"/>
      <c r="P13" s="1"/>
    </row>
    <row r="14" spans="1:16" ht="16.25" customHeight="1" x14ac:dyDescent="0.2">
      <c r="A14" s="10">
        <v>45850</v>
      </c>
      <c r="B14" s="56" t="s">
        <v>20</v>
      </c>
      <c r="C14" s="57"/>
      <c r="D14" s="74"/>
      <c r="E14" s="74"/>
      <c r="F14" s="20"/>
      <c r="G14" s="26"/>
      <c r="H14" s="8"/>
      <c r="I14" s="8"/>
      <c r="J14" s="29"/>
      <c r="K14" s="29"/>
      <c r="L14" s="29"/>
      <c r="P14" s="1"/>
    </row>
    <row r="15" spans="1:16" ht="16.25" customHeight="1" x14ac:dyDescent="0.2">
      <c r="A15" s="10">
        <v>45851</v>
      </c>
      <c r="B15" s="56" t="s">
        <v>20</v>
      </c>
      <c r="C15" s="57"/>
      <c r="D15" s="74"/>
      <c r="E15" s="74"/>
      <c r="F15" s="20"/>
      <c r="G15" s="26"/>
      <c r="H15" s="8"/>
      <c r="I15" s="8"/>
      <c r="J15" s="29"/>
      <c r="K15" s="29"/>
      <c r="L15" s="29"/>
      <c r="P15" s="1"/>
    </row>
    <row r="16" spans="1:16" ht="16.25" customHeight="1" x14ac:dyDescent="0.2">
      <c r="A16" s="7">
        <v>45852</v>
      </c>
      <c r="B16" s="58" t="s">
        <v>18</v>
      </c>
      <c r="C16" s="59" t="s">
        <v>19</v>
      </c>
      <c r="D16" s="75"/>
      <c r="E16" s="75"/>
      <c r="F16" s="21"/>
      <c r="G16" s="27"/>
      <c r="H16" s="5"/>
      <c r="I16" s="5"/>
      <c r="J16" s="29"/>
      <c r="K16" s="29"/>
      <c r="L16" s="29"/>
      <c r="P16" s="1"/>
    </row>
    <row r="17" spans="1:16" ht="16.25" customHeight="1" x14ac:dyDescent="0.2">
      <c r="A17" s="7">
        <v>45853</v>
      </c>
      <c r="B17" s="58" t="s">
        <v>18</v>
      </c>
      <c r="C17" s="59" t="s">
        <v>19</v>
      </c>
      <c r="D17" s="75"/>
      <c r="E17" s="75"/>
      <c r="F17" s="21"/>
      <c r="G17" s="27"/>
      <c r="H17" s="5"/>
      <c r="I17" s="5"/>
      <c r="J17" s="29"/>
      <c r="K17" s="29"/>
      <c r="L17" s="29"/>
      <c r="P17" s="1"/>
    </row>
    <row r="18" spans="1:16" ht="16.25" customHeight="1" x14ac:dyDescent="0.2">
      <c r="A18" s="7">
        <v>45854</v>
      </c>
      <c r="B18" s="58" t="s">
        <v>18</v>
      </c>
      <c r="C18" s="59" t="s">
        <v>19</v>
      </c>
      <c r="D18" s="75"/>
      <c r="E18" s="75"/>
      <c r="F18" s="21"/>
      <c r="G18" s="27"/>
      <c r="H18" s="5"/>
      <c r="I18" s="5"/>
      <c r="J18" s="29"/>
      <c r="K18" s="29"/>
      <c r="L18" s="29"/>
      <c r="P18" s="1"/>
    </row>
    <row r="19" spans="1:16" ht="16.25" customHeight="1" x14ac:dyDescent="0.2">
      <c r="A19" s="7">
        <v>45855</v>
      </c>
      <c r="B19" s="58" t="s">
        <v>18</v>
      </c>
      <c r="C19" s="59" t="s">
        <v>19</v>
      </c>
      <c r="D19" s="75"/>
      <c r="E19" s="75"/>
      <c r="F19" s="21"/>
      <c r="G19" s="27"/>
      <c r="H19" s="5"/>
      <c r="I19" s="5"/>
      <c r="J19" s="29"/>
      <c r="K19" s="29"/>
      <c r="L19" s="29"/>
      <c r="P19" s="1"/>
    </row>
    <row r="20" spans="1:16" ht="16.25" customHeight="1" x14ac:dyDescent="0.2">
      <c r="A20" s="7">
        <v>45856</v>
      </c>
      <c r="B20" s="58" t="s">
        <v>18</v>
      </c>
      <c r="C20" s="59" t="s">
        <v>19</v>
      </c>
      <c r="D20" s="75"/>
      <c r="E20" s="75"/>
      <c r="F20" s="21"/>
      <c r="G20" s="27"/>
      <c r="H20" s="5"/>
      <c r="I20" s="5"/>
      <c r="J20" s="29"/>
      <c r="K20" s="29"/>
      <c r="L20" s="29"/>
      <c r="P20" s="1"/>
    </row>
    <row r="21" spans="1:16" ht="16.25" customHeight="1" x14ac:dyDescent="0.2">
      <c r="A21" s="10">
        <v>45857</v>
      </c>
      <c r="B21" s="56" t="s">
        <v>20</v>
      </c>
      <c r="C21" s="57"/>
      <c r="D21" s="74"/>
      <c r="E21" s="74"/>
      <c r="F21" s="20"/>
      <c r="G21" s="26"/>
      <c r="H21" s="8"/>
      <c r="I21" s="8"/>
      <c r="J21" s="29"/>
      <c r="K21" s="29"/>
      <c r="L21" s="29"/>
      <c r="P21" s="1"/>
    </row>
    <row r="22" spans="1:16" ht="16.25" customHeight="1" x14ac:dyDescent="0.2">
      <c r="A22" s="10">
        <v>45858</v>
      </c>
      <c r="B22" s="56" t="s">
        <v>17</v>
      </c>
      <c r="C22" s="57"/>
      <c r="D22" s="74"/>
      <c r="E22" s="74"/>
      <c r="F22" s="20"/>
      <c r="G22" s="26"/>
      <c r="H22" s="8"/>
      <c r="I22" s="8"/>
      <c r="J22" s="29"/>
      <c r="K22" s="29"/>
      <c r="L22" s="29"/>
      <c r="P22" s="1"/>
    </row>
    <row r="23" spans="1:16" ht="16.25" customHeight="1" x14ac:dyDescent="0.2">
      <c r="A23" s="7">
        <v>45859</v>
      </c>
      <c r="B23" s="58" t="s">
        <v>21</v>
      </c>
      <c r="C23" s="60" t="s">
        <v>22</v>
      </c>
      <c r="D23" s="76"/>
      <c r="E23" s="76"/>
      <c r="F23" s="21"/>
      <c r="G23" s="27"/>
      <c r="H23" s="5"/>
      <c r="I23" s="5"/>
      <c r="J23" s="29"/>
      <c r="K23" s="29"/>
      <c r="L23" s="29"/>
      <c r="P23" s="1"/>
    </row>
    <row r="24" spans="1:16" ht="16.25" customHeight="1" x14ac:dyDescent="0.2">
      <c r="A24" s="7">
        <v>45860</v>
      </c>
      <c r="B24" s="58" t="s">
        <v>21</v>
      </c>
      <c r="C24" s="60"/>
      <c r="D24" s="76"/>
      <c r="E24" s="76"/>
      <c r="F24" s="21"/>
      <c r="G24" s="27"/>
      <c r="H24" s="5"/>
      <c r="I24" s="5"/>
      <c r="J24" s="29"/>
      <c r="K24" s="29"/>
      <c r="L24" s="29"/>
      <c r="P24" s="1"/>
    </row>
    <row r="25" spans="1:16" ht="16.25" customHeight="1" x14ac:dyDescent="0.2">
      <c r="A25" s="7">
        <v>45861</v>
      </c>
      <c r="B25" s="58" t="s">
        <v>21</v>
      </c>
      <c r="C25" s="60"/>
      <c r="D25" s="76"/>
      <c r="E25" s="76"/>
      <c r="F25" s="21"/>
      <c r="G25" s="27"/>
      <c r="H25" s="5"/>
      <c r="I25" s="5"/>
      <c r="J25" s="29"/>
      <c r="K25" s="29"/>
      <c r="L25" s="29"/>
      <c r="P25" s="1"/>
    </row>
    <row r="26" spans="1:16" ht="16.25" customHeight="1" x14ac:dyDescent="0.2">
      <c r="A26" s="7">
        <v>45862</v>
      </c>
      <c r="B26" s="58" t="s">
        <v>21</v>
      </c>
      <c r="C26" s="60"/>
      <c r="D26" s="76"/>
      <c r="E26" s="76"/>
      <c r="F26" s="21"/>
      <c r="G26" s="27"/>
      <c r="H26" s="5"/>
      <c r="I26" s="5"/>
      <c r="J26" s="29"/>
      <c r="K26" s="29"/>
      <c r="L26" s="29"/>
      <c r="P26" s="1"/>
    </row>
    <row r="27" spans="1:16" ht="16.25" customHeight="1" x14ac:dyDescent="0.2">
      <c r="A27" s="7">
        <v>45863</v>
      </c>
      <c r="B27" s="58" t="s">
        <v>21</v>
      </c>
      <c r="C27" s="60"/>
      <c r="D27" s="76"/>
      <c r="E27" s="76"/>
      <c r="F27" s="21"/>
      <c r="G27" s="27"/>
      <c r="H27" s="5"/>
      <c r="I27" s="5"/>
      <c r="J27" s="29"/>
      <c r="K27" s="29"/>
      <c r="L27" s="29"/>
      <c r="P27" s="1"/>
    </row>
    <row r="28" spans="1:16" ht="16.25" customHeight="1" x14ac:dyDescent="0.2">
      <c r="A28" s="10">
        <v>45864</v>
      </c>
      <c r="B28" s="56" t="s">
        <v>20</v>
      </c>
      <c r="C28" s="57"/>
      <c r="D28" s="74"/>
      <c r="E28" s="74"/>
      <c r="F28" s="20"/>
      <c r="G28" s="26"/>
      <c r="H28" s="8"/>
      <c r="I28" s="8"/>
      <c r="J28" s="29"/>
      <c r="K28" s="29"/>
      <c r="L28" s="29"/>
      <c r="P28" s="1"/>
    </row>
    <row r="29" spans="1:16" ht="16.25" customHeight="1" x14ac:dyDescent="0.2">
      <c r="A29" s="10">
        <v>45865</v>
      </c>
      <c r="B29" s="56" t="s">
        <v>20</v>
      </c>
      <c r="C29" s="57"/>
      <c r="D29" s="74"/>
      <c r="E29" s="74"/>
      <c r="F29" s="20"/>
      <c r="G29" s="26"/>
      <c r="H29" s="8"/>
      <c r="I29" s="8"/>
      <c r="J29" s="29"/>
      <c r="K29" s="29"/>
      <c r="L29" s="29"/>
      <c r="P29" s="1"/>
    </row>
    <row r="30" spans="1:16" ht="16.25" customHeight="1" x14ac:dyDescent="0.2">
      <c r="A30" s="7">
        <v>45866</v>
      </c>
      <c r="B30" s="58" t="s">
        <v>23</v>
      </c>
      <c r="C30" s="60" t="s">
        <v>24</v>
      </c>
      <c r="D30" s="76"/>
      <c r="E30" s="76"/>
      <c r="F30" s="21"/>
      <c r="G30" s="27"/>
      <c r="H30" s="5"/>
      <c r="I30" s="5"/>
      <c r="J30" s="29"/>
      <c r="K30" s="29"/>
      <c r="L30" s="29"/>
      <c r="P30" s="1"/>
    </row>
    <row r="31" spans="1:16" ht="16.25" customHeight="1" x14ac:dyDescent="0.2">
      <c r="A31" s="7">
        <v>45867</v>
      </c>
      <c r="B31" s="58" t="s">
        <v>23</v>
      </c>
      <c r="C31" s="59"/>
      <c r="D31" s="75"/>
      <c r="E31" s="75"/>
      <c r="F31" s="21"/>
      <c r="G31" s="27"/>
      <c r="H31" s="5"/>
      <c r="I31" s="5"/>
      <c r="J31" s="29"/>
      <c r="K31" s="29"/>
      <c r="L31" s="29"/>
      <c r="P31" s="1"/>
    </row>
    <row r="32" spans="1:16" ht="16.25" customHeight="1" x14ac:dyDescent="0.2">
      <c r="A32" s="7">
        <v>45868</v>
      </c>
      <c r="B32" s="58" t="s">
        <v>23</v>
      </c>
      <c r="C32" s="60" t="s">
        <v>25</v>
      </c>
      <c r="D32" s="76"/>
      <c r="E32" s="76"/>
      <c r="F32" s="21"/>
      <c r="G32" s="27"/>
      <c r="H32" s="5"/>
      <c r="I32" s="5"/>
      <c r="J32" s="29"/>
      <c r="K32" s="29"/>
      <c r="L32" s="29"/>
    </row>
    <row r="33" spans="1:12" ht="16.25" customHeight="1" x14ac:dyDescent="0.2">
      <c r="A33" s="7">
        <v>45869</v>
      </c>
      <c r="B33" s="58" t="s">
        <v>23</v>
      </c>
      <c r="C33" s="59"/>
      <c r="D33" s="75"/>
      <c r="E33" s="75"/>
      <c r="F33" s="21"/>
      <c r="G33" s="27"/>
      <c r="H33" s="5"/>
      <c r="I33" s="5"/>
      <c r="J33" s="29" t="s">
        <v>22</v>
      </c>
      <c r="K33" s="29" t="s">
        <v>26</v>
      </c>
      <c r="L33" s="29"/>
    </row>
    <row r="34" spans="1:12" ht="16.25" customHeight="1" x14ac:dyDescent="0.2">
      <c r="A34" s="7">
        <v>45870</v>
      </c>
      <c r="B34" s="58" t="s">
        <v>23</v>
      </c>
      <c r="C34" s="60" t="s">
        <v>27</v>
      </c>
      <c r="D34" s="76"/>
      <c r="E34" s="76"/>
      <c r="F34" s="21"/>
      <c r="G34" s="27"/>
      <c r="H34" s="5"/>
      <c r="I34" s="5"/>
      <c r="J34" s="29" t="s">
        <v>28</v>
      </c>
      <c r="K34" s="29"/>
      <c r="L34" s="29"/>
    </row>
    <row r="35" spans="1:12" ht="16.25" customHeight="1" x14ac:dyDescent="0.2">
      <c r="A35" s="10">
        <v>45871</v>
      </c>
      <c r="B35" s="56" t="s">
        <v>20</v>
      </c>
      <c r="C35" s="57"/>
      <c r="D35" s="74"/>
      <c r="E35" s="74"/>
      <c r="F35" s="20"/>
      <c r="G35" s="26"/>
      <c r="H35" s="8"/>
      <c r="I35" s="8"/>
      <c r="J35" s="29"/>
      <c r="K35" s="29"/>
      <c r="L35" s="29"/>
    </row>
    <row r="36" spans="1:12" ht="16.25" customHeight="1" x14ac:dyDescent="0.2">
      <c r="A36" s="10">
        <v>45872</v>
      </c>
      <c r="B36" s="56" t="s">
        <v>29</v>
      </c>
      <c r="C36" s="57"/>
      <c r="D36" s="74"/>
      <c r="E36" s="74"/>
      <c r="F36" s="20"/>
      <c r="G36" s="26"/>
      <c r="H36" s="8"/>
      <c r="I36" s="8"/>
      <c r="J36" s="29"/>
      <c r="K36" s="29"/>
      <c r="L36" s="29"/>
    </row>
    <row r="37" spans="1:12" ht="16.25" customHeight="1" x14ac:dyDescent="0.2">
      <c r="A37" s="7">
        <v>45873</v>
      </c>
      <c r="B37" s="58" t="s">
        <v>23</v>
      </c>
      <c r="C37" s="60" t="s">
        <v>30</v>
      </c>
      <c r="D37" s="76" t="s">
        <v>284</v>
      </c>
      <c r="E37" s="76"/>
      <c r="F37" s="21"/>
      <c r="G37" s="27"/>
      <c r="H37" s="5"/>
      <c r="I37" s="5"/>
      <c r="J37" s="29" t="s">
        <v>31</v>
      </c>
      <c r="K37" s="29" t="s">
        <v>32</v>
      </c>
      <c r="L37" s="29"/>
    </row>
    <row r="38" spans="1:12" ht="16.25" customHeight="1" x14ac:dyDescent="0.2">
      <c r="A38" s="7">
        <v>45874</v>
      </c>
      <c r="B38" s="58" t="s">
        <v>23</v>
      </c>
      <c r="C38" s="60" t="s">
        <v>33</v>
      </c>
      <c r="D38" s="76" t="s">
        <v>284</v>
      </c>
      <c r="E38" s="76"/>
      <c r="F38" s="21"/>
      <c r="G38" s="27"/>
      <c r="H38" s="5"/>
      <c r="I38" s="5"/>
      <c r="J38" s="29" t="s">
        <v>34</v>
      </c>
      <c r="K38" s="29"/>
      <c r="L38" s="29"/>
    </row>
    <row r="39" spans="1:12" ht="16.25" customHeight="1" x14ac:dyDescent="0.2">
      <c r="A39" s="7">
        <v>45875</v>
      </c>
      <c r="B39" s="58" t="s">
        <v>23</v>
      </c>
      <c r="C39" s="60" t="s">
        <v>33</v>
      </c>
      <c r="D39" s="76" t="s">
        <v>284</v>
      </c>
      <c r="E39" s="76"/>
      <c r="F39" s="21"/>
      <c r="G39" s="27"/>
      <c r="H39" s="5"/>
      <c r="I39" s="5"/>
      <c r="J39" s="29"/>
      <c r="K39" s="29"/>
      <c r="L39" s="29"/>
    </row>
    <row r="40" spans="1:12" ht="16.25" customHeight="1" x14ac:dyDescent="0.2">
      <c r="A40" s="10">
        <v>45876</v>
      </c>
      <c r="B40" s="56" t="s">
        <v>17</v>
      </c>
      <c r="C40" s="57"/>
      <c r="D40" s="74"/>
      <c r="E40" s="74"/>
      <c r="F40" s="20"/>
      <c r="G40" s="26"/>
      <c r="H40" s="8"/>
      <c r="I40" s="8"/>
      <c r="J40" s="29"/>
      <c r="K40" s="29"/>
      <c r="L40" s="29"/>
    </row>
    <row r="41" spans="1:12" ht="16.25" customHeight="1" x14ac:dyDescent="0.2">
      <c r="A41" s="7">
        <v>45877</v>
      </c>
      <c r="B41" s="58" t="s">
        <v>23</v>
      </c>
      <c r="C41" s="60" t="s">
        <v>33</v>
      </c>
      <c r="D41" s="76" t="s">
        <v>284</v>
      </c>
      <c r="E41" s="76"/>
      <c r="F41" s="21"/>
      <c r="G41" s="27"/>
      <c r="H41" s="5"/>
      <c r="I41" s="5"/>
      <c r="J41" s="29"/>
      <c r="K41" s="29"/>
      <c r="L41" s="29"/>
    </row>
    <row r="42" spans="1:12" ht="16.25" customHeight="1" x14ac:dyDescent="0.2">
      <c r="A42" s="10">
        <v>45878</v>
      </c>
      <c r="B42" s="56" t="s">
        <v>20</v>
      </c>
      <c r="C42" s="57"/>
      <c r="D42" s="74"/>
      <c r="E42" s="74"/>
      <c r="F42" s="20"/>
      <c r="G42" s="26"/>
      <c r="H42" s="8"/>
      <c r="I42" s="8"/>
      <c r="J42" s="29"/>
      <c r="K42" s="29"/>
      <c r="L42" s="29"/>
    </row>
    <row r="43" spans="1:12" ht="16.25" customHeight="1" x14ac:dyDescent="0.2">
      <c r="A43" s="10">
        <v>45879</v>
      </c>
      <c r="B43" s="56" t="s">
        <v>20</v>
      </c>
      <c r="C43" s="57"/>
      <c r="D43" s="74"/>
      <c r="E43" s="74"/>
      <c r="F43" s="20"/>
      <c r="G43" s="26"/>
      <c r="H43" s="8"/>
      <c r="I43" s="8"/>
      <c r="J43" s="29"/>
      <c r="K43" s="29"/>
      <c r="L43" s="29"/>
    </row>
    <row r="44" spans="1:12" ht="16.25" customHeight="1" x14ac:dyDescent="0.2">
      <c r="A44" s="7">
        <v>45880</v>
      </c>
      <c r="B44" s="58" t="s">
        <v>23</v>
      </c>
      <c r="C44" s="60" t="s">
        <v>36</v>
      </c>
      <c r="D44" s="76" t="s">
        <v>285</v>
      </c>
      <c r="E44" s="76"/>
      <c r="F44" s="21"/>
      <c r="G44" s="27">
        <v>1</v>
      </c>
      <c r="H44" s="5"/>
      <c r="I44" s="5"/>
      <c r="J44" s="29"/>
      <c r="K44" s="29" t="s">
        <v>34</v>
      </c>
      <c r="L44" s="29" t="s">
        <v>37</v>
      </c>
    </row>
    <row r="45" spans="1:12" ht="16.25" customHeight="1" x14ac:dyDescent="0.2">
      <c r="A45" s="7">
        <v>45881</v>
      </c>
      <c r="B45" s="58" t="s">
        <v>23</v>
      </c>
      <c r="C45" s="60" t="s">
        <v>38</v>
      </c>
      <c r="D45" s="76"/>
      <c r="E45" s="76"/>
      <c r="F45" s="21"/>
      <c r="G45" s="27"/>
      <c r="H45" s="5"/>
      <c r="I45" s="5"/>
      <c r="J45" s="29"/>
      <c r="K45" s="29" t="s">
        <v>39</v>
      </c>
      <c r="L45" s="29" t="s">
        <v>40</v>
      </c>
    </row>
    <row r="46" spans="1:12" ht="16.25" customHeight="1" x14ac:dyDescent="0.2">
      <c r="A46" s="7">
        <v>45882</v>
      </c>
      <c r="B46" s="61">
        <v>1</v>
      </c>
      <c r="C46" s="60" t="s">
        <v>41</v>
      </c>
      <c r="D46" s="76"/>
      <c r="E46" s="76"/>
      <c r="F46" s="21"/>
      <c r="G46" s="27"/>
      <c r="H46" s="5"/>
      <c r="I46" s="5"/>
      <c r="J46" s="29"/>
      <c r="K46" s="29" t="s">
        <v>42</v>
      </c>
      <c r="L46" s="29" t="s">
        <v>43</v>
      </c>
    </row>
    <row r="47" spans="1:12" ht="16.25" customHeight="1" x14ac:dyDescent="0.2">
      <c r="A47" s="7">
        <v>45883</v>
      </c>
      <c r="B47" s="61">
        <v>2</v>
      </c>
      <c r="C47" s="60"/>
      <c r="D47" s="76"/>
      <c r="E47" s="76"/>
      <c r="F47" s="21"/>
      <c r="G47" s="27"/>
      <c r="H47" s="5"/>
      <c r="I47" s="5"/>
      <c r="J47" s="29" t="s">
        <v>44</v>
      </c>
      <c r="K47" s="29" t="s">
        <v>45</v>
      </c>
      <c r="L47" s="29"/>
    </row>
    <row r="48" spans="1:12" ht="16.25" customHeight="1" x14ac:dyDescent="0.2">
      <c r="A48" s="7">
        <v>45884</v>
      </c>
      <c r="B48" s="61">
        <v>3</v>
      </c>
      <c r="C48" s="60"/>
      <c r="D48" s="76"/>
      <c r="E48" s="76"/>
      <c r="F48" s="21"/>
      <c r="G48" s="27"/>
      <c r="H48" s="5"/>
      <c r="I48" s="5"/>
      <c r="J48" s="29" t="s">
        <v>46</v>
      </c>
      <c r="K48" s="29"/>
      <c r="L48" s="29"/>
    </row>
    <row r="49" spans="1:12" ht="16.25" customHeight="1" x14ac:dyDescent="0.2">
      <c r="A49" s="10">
        <v>45885</v>
      </c>
      <c r="B49" s="56" t="s">
        <v>20</v>
      </c>
      <c r="C49" s="57"/>
      <c r="D49" s="74"/>
      <c r="E49" s="74"/>
      <c r="F49" s="20"/>
      <c r="G49" s="26"/>
      <c r="H49" s="8"/>
      <c r="I49" s="8"/>
      <c r="J49" s="29"/>
      <c r="K49" s="29"/>
      <c r="L49" s="29"/>
    </row>
    <row r="50" spans="1:12" ht="16.25" customHeight="1" x14ac:dyDescent="0.2">
      <c r="A50" s="10">
        <v>45886</v>
      </c>
      <c r="B50" s="56" t="s">
        <v>20</v>
      </c>
      <c r="C50" s="57"/>
      <c r="D50" s="74"/>
      <c r="E50" s="74"/>
      <c r="F50" s="20"/>
      <c r="G50" s="26"/>
      <c r="H50" s="8"/>
      <c r="I50" s="8"/>
      <c r="J50" s="29"/>
      <c r="K50" s="29"/>
      <c r="L50" s="29"/>
    </row>
    <row r="51" spans="1:12" ht="16.25" customHeight="1" x14ac:dyDescent="0.2">
      <c r="A51" s="10">
        <v>45887</v>
      </c>
      <c r="B51" s="56" t="s">
        <v>17</v>
      </c>
      <c r="C51" s="57"/>
      <c r="D51" s="74"/>
      <c r="E51" s="74"/>
      <c r="F51" s="20"/>
      <c r="G51" s="26"/>
      <c r="H51" s="8"/>
      <c r="I51" s="8"/>
      <c r="J51" s="29"/>
      <c r="K51" s="29"/>
      <c r="L51" s="29"/>
    </row>
    <row r="52" spans="1:12" ht="16.25" customHeight="1" x14ac:dyDescent="0.2">
      <c r="A52" s="7">
        <v>45888</v>
      </c>
      <c r="B52" s="61">
        <v>4</v>
      </c>
      <c r="C52" s="60"/>
      <c r="D52" s="76"/>
      <c r="E52" s="76"/>
      <c r="F52" s="21"/>
      <c r="G52" s="27">
        <f>1+SUM(G43:G49)</f>
        <v>2</v>
      </c>
      <c r="H52" s="5"/>
      <c r="I52" s="5"/>
      <c r="J52" s="29"/>
      <c r="K52" s="29"/>
      <c r="L52" s="29"/>
    </row>
    <row r="53" spans="1:12" ht="16.25" customHeight="1" x14ac:dyDescent="0.2">
      <c r="A53" s="7">
        <v>45889</v>
      </c>
      <c r="B53" s="61">
        <v>5</v>
      </c>
      <c r="C53" s="60"/>
      <c r="D53" s="76"/>
      <c r="E53" s="76"/>
      <c r="F53" s="21"/>
      <c r="G53" s="27"/>
      <c r="H53" s="5"/>
      <c r="I53" s="5"/>
      <c r="J53" s="29"/>
      <c r="K53" s="29"/>
      <c r="L53" s="29"/>
    </row>
    <row r="54" spans="1:12" ht="16.25" customHeight="1" x14ac:dyDescent="0.2">
      <c r="A54" s="7">
        <v>45890</v>
      </c>
      <c r="B54" s="61">
        <v>6</v>
      </c>
      <c r="C54" s="60"/>
      <c r="D54" s="76"/>
      <c r="E54" s="76"/>
      <c r="F54" s="21">
        <v>1</v>
      </c>
      <c r="G54" s="27"/>
      <c r="H54" s="5"/>
      <c r="I54" s="5"/>
      <c r="J54" s="29"/>
      <c r="K54" s="29"/>
      <c r="L54" s="29"/>
    </row>
    <row r="55" spans="1:12" ht="16.25" customHeight="1" x14ac:dyDescent="0.2">
      <c r="A55" s="7">
        <v>45891</v>
      </c>
      <c r="B55" s="61">
        <v>1</v>
      </c>
      <c r="C55" s="60"/>
      <c r="D55" s="76"/>
      <c r="E55" s="76"/>
      <c r="F55" s="21"/>
      <c r="G55" s="27"/>
      <c r="H55" s="5"/>
      <c r="I55" s="5"/>
      <c r="J55" s="29"/>
      <c r="K55" s="29"/>
      <c r="L55" s="29"/>
    </row>
    <row r="56" spans="1:12" ht="16.25" customHeight="1" x14ac:dyDescent="0.2">
      <c r="A56" s="10">
        <v>45892</v>
      </c>
      <c r="B56" s="56" t="s">
        <v>20</v>
      </c>
      <c r="C56" s="57"/>
      <c r="D56" s="74"/>
      <c r="E56" s="74"/>
      <c r="F56" s="20"/>
      <c r="G56" s="26"/>
      <c r="H56" s="8"/>
      <c r="I56" s="8"/>
      <c r="J56" s="29"/>
      <c r="K56" s="29"/>
      <c r="L56" s="29"/>
    </row>
    <row r="57" spans="1:12" ht="16.25" customHeight="1" x14ac:dyDescent="0.2">
      <c r="A57" s="10">
        <v>45893</v>
      </c>
      <c r="B57" s="56" t="s">
        <v>20</v>
      </c>
      <c r="C57" s="57"/>
      <c r="D57" s="74"/>
      <c r="E57" s="74"/>
      <c r="F57" s="20"/>
      <c r="G57" s="26"/>
      <c r="H57" s="8"/>
      <c r="I57" s="8"/>
      <c r="J57" s="29"/>
      <c r="K57" s="29"/>
      <c r="L57" s="29"/>
    </row>
    <row r="58" spans="1:12" ht="16.25" customHeight="1" x14ac:dyDescent="0.2">
      <c r="A58" s="7">
        <v>45894</v>
      </c>
      <c r="B58" s="61">
        <v>2</v>
      </c>
      <c r="C58" s="60"/>
      <c r="D58" s="76"/>
      <c r="E58" s="76"/>
      <c r="F58" s="21"/>
      <c r="G58" s="27">
        <f>1+SUM(G49:G55)</f>
        <v>3</v>
      </c>
      <c r="H58" s="5"/>
      <c r="I58" s="5"/>
      <c r="J58" s="29"/>
      <c r="K58" s="29"/>
      <c r="L58" s="29"/>
    </row>
    <row r="59" spans="1:12" ht="16.25" customHeight="1" x14ac:dyDescent="0.2">
      <c r="A59" s="7">
        <v>45895</v>
      </c>
      <c r="B59" s="61">
        <v>3</v>
      </c>
      <c r="C59" s="60"/>
      <c r="D59" s="76"/>
      <c r="E59" s="76"/>
      <c r="F59" s="21"/>
      <c r="G59" s="27"/>
      <c r="H59" s="5"/>
      <c r="I59" s="5"/>
      <c r="J59" s="29"/>
      <c r="K59" s="29"/>
      <c r="L59" s="29"/>
    </row>
    <row r="60" spans="1:12" ht="16.25" customHeight="1" x14ac:dyDescent="0.2">
      <c r="A60" s="7">
        <v>45896</v>
      </c>
      <c r="B60" s="61">
        <v>4</v>
      </c>
      <c r="C60" s="60"/>
      <c r="D60" s="76"/>
      <c r="E60" s="76"/>
      <c r="F60" s="21"/>
      <c r="G60" s="27"/>
      <c r="H60" s="5"/>
      <c r="I60" s="5"/>
      <c r="J60" s="29"/>
      <c r="K60" s="29"/>
      <c r="L60" s="29"/>
    </row>
    <row r="61" spans="1:12" ht="16.25" customHeight="1" x14ac:dyDescent="0.2">
      <c r="A61" s="7">
        <v>45897</v>
      </c>
      <c r="B61" s="61">
        <v>5</v>
      </c>
      <c r="C61" s="60"/>
      <c r="D61" s="76"/>
      <c r="E61" s="76"/>
      <c r="F61" s="21"/>
      <c r="G61" s="27"/>
      <c r="H61" s="5"/>
      <c r="I61" s="5"/>
      <c r="J61" s="29"/>
      <c r="K61" s="29"/>
      <c r="L61" s="29"/>
    </row>
    <row r="62" spans="1:12" ht="16.25" customHeight="1" x14ac:dyDescent="0.2">
      <c r="A62" s="7">
        <v>45898</v>
      </c>
      <c r="B62" s="61">
        <v>6</v>
      </c>
      <c r="C62" s="60"/>
      <c r="D62" s="76"/>
      <c r="E62" s="76"/>
      <c r="F62" s="21">
        <v>2</v>
      </c>
      <c r="G62" s="27"/>
      <c r="H62" s="5"/>
      <c r="I62" s="5"/>
      <c r="J62" s="29"/>
      <c r="K62" s="29"/>
      <c r="L62" s="29"/>
    </row>
    <row r="63" spans="1:12" ht="16.25" customHeight="1" x14ac:dyDescent="0.2">
      <c r="A63" s="10">
        <v>45899</v>
      </c>
      <c r="B63" s="56" t="s">
        <v>48</v>
      </c>
      <c r="C63" s="56" t="s">
        <v>48</v>
      </c>
      <c r="D63" s="77"/>
      <c r="E63" s="77"/>
      <c r="F63" s="20"/>
      <c r="G63" s="26"/>
      <c r="H63" s="8"/>
      <c r="I63" s="8"/>
      <c r="J63" s="29"/>
      <c r="K63" s="29"/>
      <c r="L63" s="29"/>
    </row>
    <row r="64" spans="1:12" ht="16.25" customHeight="1" x14ac:dyDescent="0.2">
      <c r="A64" s="10">
        <v>45900</v>
      </c>
      <c r="B64" s="56" t="s">
        <v>20</v>
      </c>
      <c r="C64" s="57"/>
      <c r="D64" s="74"/>
      <c r="E64" s="74"/>
      <c r="F64" s="20"/>
      <c r="G64" s="26"/>
      <c r="H64" s="8"/>
      <c r="I64" s="8"/>
      <c r="J64" s="29"/>
      <c r="K64" s="29"/>
      <c r="L64" s="29"/>
    </row>
    <row r="65" spans="1:12" ht="16.25" customHeight="1" x14ac:dyDescent="0.2">
      <c r="A65" s="7">
        <v>45901</v>
      </c>
      <c r="B65" s="61">
        <v>1</v>
      </c>
      <c r="C65" s="60"/>
      <c r="D65" s="76"/>
      <c r="E65" s="76"/>
      <c r="F65" s="21"/>
      <c r="G65" s="27">
        <f>1+SUM(G56:G62)</f>
        <v>4</v>
      </c>
      <c r="H65" s="5"/>
      <c r="I65" s="5"/>
      <c r="J65" s="29"/>
      <c r="K65" s="29"/>
      <c r="L65" s="29"/>
    </row>
    <row r="66" spans="1:12" ht="16.25" customHeight="1" x14ac:dyDescent="0.2">
      <c r="A66" s="7">
        <v>45902</v>
      </c>
      <c r="B66" s="61">
        <v>2</v>
      </c>
      <c r="C66" s="60"/>
      <c r="D66" s="76" t="s">
        <v>286</v>
      </c>
      <c r="E66" s="76"/>
      <c r="F66" s="21"/>
      <c r="G66" s="27"/>
      <c r="H66" s="5"/>
      <c r="I66" s="5"/>
      <c r="J66" s="29"/>
      <c r="K66" s="29"/>
      <c r="L66" s="29"/>
    </row>
    <row r="67" spans="1:12" ht="16.25" customHeight="1" x14ac:dyDescent="0.2">
      <c r="A67" s="7">
        <v>45903</v>
      </c>
      <c r="B67" s="61">
        <v>3</v>
      </c>
      <c r="C67" s="60"/>
      <c r="D67" s="76"/>
      <c r="E67" s="76"/>
      <c r="F67" s="21"/>
      <c r="G67" s="27"/>
      <c r="H67" s="5"/>
      <c r="I67" s="5"/>
      <c r="J67" s="29"/>
      <c r="K67" s="29"/>
      <c r="L67" s="29"/>
    </row>
    <row r="68" spans="1:12" ht="16.25" customHeight="1" x14ac:dyDescent="0.2">
      <c r="A68" s="7">
        <v>45904</v>
      </c>
      <c r="B68" s="61">
        <v>4</v>
      </c>
      <c r="C68" s="60"/>
      <c r="D68" s="76"/>
      <c r="E68" s="76"/>
      <c r="F68" s="21"/>
      <c r="G68" s="27"/>
      <c r="H68" s="5"/>
      <c r="I68" s="5"/>
      <c r="J68" s="29"/>
      <c r="K68" s="29"/>
      <c r="L68" s="29"/>
    </row>
    <row r="69" spans="1:12" ht="16.25" customHeight="1" x14ac:dyDescent="0.2">
      <c r="A69" s="7">
        <v>45905</v>
      </c>
      <c r="B69" s="58" t="s">
        <v>51</v>
      </c>
      <c r="C69" s="60" t="s">
        <v>138</v>
      </c>
      <c r="D69" s="76" t="s">
        <v>287</v>
      </c>
      <c r="E69" s="76"/>
      <c r="F69" s="21"/>
      <c r="G69" s="27"/>
      <c r="H69" s="5"/>
      <c r="I69" s="5"/>
      <c r="J69" s="29"/>
      <c r="K69" s="29"/>
      <c r="L69" s="29"/>
    </row>
    <row r="70" spans="1:12" ht="16.25" customHeight="1" x14ac:dyDescent="0.2">
      <c r="A70" s="10">
        <v>45906</v>
      </c>
      <c r="B70" s="56" t="s">
        <v>20</v>
      </c>
      <c r="C70" s="57"/>
      <c r="D70" s="74"/>
      <c r="E70" s="74"/>
      <c r="F70" s="20"/>
      <c r="G70" s="26"/>
      <c r="H70" s="8"/>
      <c r="I70" s="8"/>
      <c r="J70" s="29"/>
      <c r="K70" s="29"/>
      <c r="L70" s="29"/>
    </row>
    <row r="71" spans="1:12" ht="16.25" customHeight="1" x14ac:dyDescent="0.2">
      <c r="A71" s="10">
        <v>45907</v>
      </c>
      <c r="B71" s="56" t="s">
        <v>20</v>
      </c>
      <c r="C71" s="57"/>
      <c r="D71" s="74"/>
      <c r="E71" s="74"/>
      <c r="F71" s="20"/>
      <c r="G71" s="26"/>
      <c r="H71" s="8"/>
      <c r="I71" s="8"/>
      <c r="J71" s="29"/>
      <c r="K71" s="29"/>
      <c r="L71" s="29"/>
    </row>
    <row r="72" spans="1:12" ht="16.25" customHeight="1" x14ac:dyDescent="0.2">
      <c r="A72" s="7">
        <v>45908</v>
      </c>
      <c r="B72" s="61">
        <v>5</v>
      </c>
      <c r="C72" s="60" t="s">
        <v>53</v>
      </c>
      <c r="D72" s="76"/>
      <c r="E72" s="76"/>
      <c r="F72" s="21"/>
      <c r="G72" s="27">
        <f>1+SUM(G63:G69)</f>
        <v>5</v>
      </c>
      <c r="H72" s="5"/>
      <c r="I72" s="5"/>
      <c r="J72" s="29"/>
      <c r="K72" s="29"/>
      <c r="L72" s="29"/>
    </row>
    <row r="73" spans="1:12" ht="16.25" customHeight="1" x14ac:dyDescent="0.2">
      <c r="A73" s="7">
        <v>45909</v>
      </c>
      <c r="B73" s="61">
        <v>6</v>
      </c>
      <c r="C73" s="60"/>
      <c r="D73" s="76"/>
      <c r="E73" s="76"/>
      <c r="F73" s="21">
        <v>3</v>
      </c>
      <c r="G73" s="27"/>
      <c r="H73" s="5"/>
      <c r="I73" s="5"/>
      <c r="J73" s="29"/>
      <c r="K73" s="29"/>
      <c r="L73" s="29"/>
    </row>
    <row r="74" spans="1:12" ht="16.25" customHeight="1" x14ac:dyDescent="0.2">
      <c r="A74" s="7">
        <v>45910</v>
      </c>
      <c r="B74" s="61">
        <v>1</v>
      </c>
      <c r="C74" s="60"/>
      <c r="D74" s="76"/>
      <c r="E74" s="76"/>
      <c r="F74" s="21"/>
      <c r="G74" s="27"/>
      <c r="H74" s="5"/>
      <c r="I74" s="5"/>
      <c r="J74" s="29"/>
      <c r="K74" s="29"/>
      <c r="L74" s="29"/>
    </row>
    <row r="75" spans="1:12" ht="16.25" customHeight="1" x14ac:dyDescent="0.2">
      <c r="A75" s="7">
        <v>45911</v>
      </c>
      <c r="B75" s="61">
        <v>2</v>
      </c>
      <c r="C75" s="60"/>
      <c r="D75" s="76"/>
      <c r="E75" s="76"/>
      <c r="F75" s="21"/>
      <c r="G75" s="27"/>
      <c r="H75" s="5"/>
      <c r="I75" s="5"/>
      <c r="J75" s="29"/>
      <c r="K75" s="29"/>
      <c r="L75" s="29"/>
    </row>
    <row r="76" spans="1:12" ht="16.25" customHeight="1" x14ac:dyDescent="0.2">
      <c r="A76" s="7">
        <v>45912</v>
      </c>
      <c r="B76" s="61">
        <v>3</v>
      </c>
      <c r="C76" s="60"/>
      <c r="D76" s="76"/>
      <c r="E76" s="76"/>
      <c r="F76" s="21"/>
      <c r="G76" s="27"/>
      <c r="H76" s="5"/>
      <c r="I76" s="5"/>
      <c r="J76" s="29"/>
      <c r="K76" s="29"/>
      <c r="L76" s="29"/>
    </row>
    <row r="77" spans="1:12" ht="16.25" customHeight="1" x14ac:dyDescent="0.2">
      <c r="A77" s="10">
        <v>45913</v>
      </c>
      <c r="B77" s="56" t="s">
        <v>20</v>
      </c>
      <c r="C77" s="57"/>
      <c r="D77" s="74"/>
      <c r="E77" s="74"/>
      <c r="F77" s="20"/>
      <c r="G77" s="26"/>
      <c r="H77" s="8"/>
      <c r="I77" s="8"/>
      <c r="J77" s="29"/>
      <c r="K77" s="29"/>
      <c r="L77" s="29"/>
    </row>
    <row r="78" spans="1:12" ht="16.25" customHeight="1" x14ac:dyDescent="0.2">
      <c r="A78" s="10">
        <v>45914</v>
      </c>
      <c r="B78" s="56" t="s">
        <v>20</v>
      </c>
      <c r="C78" s="57"/>
      <c r="D78" s="74"/>
      <c r="E78" s="74"/>
      <c r="F78" s="20"/>
      <c r="G78" s="26"/>
      <c r="H78" s="8"/>
      <c r="I78" s="8"/>
      <c r="J78" s="29"/>
      <c r="K78" s="29"/>
      <c r="L78" s="29"/>
    </row>
    <row r="79" spans="1:12" ht="16.25" customHeight="1" x14ac:dyDescent="0.2">
      <c r="A79" s="7">
        <v>45915</v>
      </c>
      <c r="B79" s="61">
        <v>4</v>
      </c>
      <c r="C79" s="60"/>
      <c r="D79" s="76"/>
      <c r="E79" s="76"/>
      <c r="F79" s="21"/>
      <c r="G79" s="27">
        <f>1+SUM(G70:G76)</f>
        <v>6</v>
      </c>
      <c r="H79" s="5"/>
      <c r="I79" s="5"/>
      <c r="J79" s="29"/>
      <c r="K79" s="29"/>
      <c r="L79" s="29"/>
    </row>
    <row r="80" spans="1:12" ht="16.25" customHeight="1" x14ac:dyDescent="0.2">
      <c r="A80" s="7">
        <v>45916</v>
      </c>
      <c r="B80" s="61">
        <v>5</v>
      </c>
      <c r="C80" s="60"/>
      <c r="D80" s="76"/>
      <c r="E80" s="76"/>
      <c r="F80" s="21"/>
      <c r="G80" s="27"/>
      <c r="H80" s="5"/>
      <c r="I80" s="5"/>
      <c r="J80" s="29"/>
      <c r="K80" s="29"/>
      <c r="L80" s="29"/>
    </row>
    <row r="81" spans="1:12" ht="16.25" customHeight="1" x14ac:dyDescent="0.2">
      <c r="A81" s="7">
        <v>45917</v>
      </c>
      <c r="B81" s="61">
        <v>6</v>
      </c>
      <c r="C81" s="60"/>
      <c r="D81" s="76"/>
      <c r="E81" s="76"/>
      <c r="F81" s="21">
        <v>4</v>
      </c>
      <c r="G81" s="27"/>
      <c r="H81" s="5"/>
      <c r="I81" s="5"/>
      <c r="J81" s="29"/>
      <c r="K81" s="29"/>
      <c r="L81" s="29"/>
    </row>
    <row r="82" spans="1:12" ht="16.25" customHeight="1" x14ac:dyDescent="0.2">
      <c r="A82" s="7">
        <v>45918</v>
      </c>
      <c r="B82" s="61">
        <v>1</v>
      </c>
      <c r="C82" s="60"/>
      <c r="D82" s="76"/>
      <c r="E82" s="76"/>
      <c r="F82" s="21"/>
      <c r="G82" s="27"/>
      <c r="H82" s="5"/>
      <c r="I82" s="5"/>
      <c r="J82" s="29"/>
      <c r="K82" s="29"/>
      <c r="L82" s="29"/>
    </row>
    <row r="83" spans="1:12" ht="16.25" customHeight="1" x14ac:dyDescent="0.2">
      <c r="A83" s="7">
        <v>45919</v>
      </c>
      <c r="B83" s="61">
        <v>2</v>
      </c>
      <c r="C83" s="60"/>
      <c r="D83" s="76"/>
      <c r="E83" s="76"/>
      <c r="F83" s="21"/>
      <c r="G83" s="27"/>
      <c r="H83" s="5"/>
      <c r="I83" s="5"/>
      <c r="J83" s="29"/>
      <c r="K83" s="29"/>
      <c r="L83" s="29"/>
    </row>
    <row r="84" spans="1:12" ht="16.25" customHeight="1" x14ac:dyDescent="0.2">
      <c r="A84" s="10">
        <v>45920</v>
      </c>
      <c r="B84" s="56" t="s">
        <v>20</v>
      </c>
      <c r="C84" s="57"/>
      <c r="D84" s="74"/>
      <c r="E84" s="74"/>
      <c r="F84" s="20"/>
      <c r="G84" s="26"/>
      <c r="H84" s="8"/>
      <c r="I84" s="8"/>
      <c r="J84" s="29"/>
      <c r="K84" s="29"/>
      <c r="L84" s="29"/>
    </row>
    <row r="85" spans="1:12" ht="16.25" customHeight="1" x14ac:dyDescent="0.2">
      <c r="A85" s="10">
        <v>45921</v>
      </c>
      <c r="B85" s="56" t="s">
        <v>20</v>
      </c>
      <c r="C85" s="57"/>
      <c r="D85" s="74"/>
      <c r="E85" s="74"/>
      <c r="F85" s="20"/>
      <c r="G85" s="26"/>
      <c r="H85" s="8"/>
      <c r="I85" s="8"/>
      <c r="J85" s="29"/>
      <c r="K85" s="29"/>
      <c r="L85" s="29"/>
    </row>
    <row r="86" spans="1:12" ht="16.25" customHeight="1" x14ac:dyDescent="0.2">
      <c r="A86" s="7">
        <v>45922</v>
      </c>
      <c r="B86" s="61">
        <v>3</v>
      </c>
      <c r="C86" s="60"/>
      <c r="D86" s="76"/>
      <c r="E86" s="76"/>
      <c r="F86" s="21"/>
      <c r="G86" s="27">
        <f>1+SUM(G77:G83)</f>
        <v>7</v>
      </c>
      <c r="H86" s="5"/>
      <c r="I86" s="5"/>
      <c r="J86" s="29"/>
      <c r="K86" s="29"/>
      <c r="L86" s="29"/>
    </row>
    <row r="87" spans="1:12" ht="16.25" customHeight="1" x14ac:dyDescent="0.2">
      <c r="A87" s="7">
        <v>45923</v>
      </c>
      <c r="B87" s="61">
        <v>4</v>
      </c>
      <c r="C87" s="60"/>
      <c r="D87" s="76"/>
      <c r="E87" s="76"/>
      <c r="F87" s="21"/>
      <c r="G87" s="27"/>
      <c r="H87" s="5"/>
      <c r="I87" s="5"/>
      <c r="J87" s="29"/>
      <c r="K87" s="29"/>
      <c r="L87" s="29"/>
    </row>
    <row r="88" spans="1:12" ht="16.25" customHeight="1" x14ac:dyDescent="0.2">
      <c r="A88" s="7">
        <v>45924</v>
      </c>
      <c r="B88" s="61">
        <v>5</v>
      </c>
      <c r="C88" s="60"/>
      <c r="D88" s="76" t="s">
        <v>288</v>
      </c>
      <c r="E88" s="76"/>
      <c r="F88" s="21"/>
      <c r="G88" s="27"/>
      <c r="H88" s="5"/>
      <c r="I88" s="5"/>
      <c r="J88" s="29"/>
      <c r="K88" s="29"/>
      <c r="L88" s="29"/>
    </row>
    <row r="89" spans="1:12" ht="16.25" customHeight="1" x14ac:dyDescent="0.2">
      <c r="A89" s="7">
        <v>45925</v>
      </c>
      <c r="B89" s="61">
        <v>6</v>
      </c>
      <c r="C89" s="60"/>
      <c r="D89" s="76" t="s">
        <v>289</v>
      </c>
      <c r="E89" s="76" t="s">
        <v>290</v>
      </c>
      <c r="F89" s="21">
        <v>5</v>
      </c>
      <c r="G89" s="27"/>
      <c r="H89" s="5"/>
      <c r="I89" s="5"/>
      <c r="J89" s="29"/>
      <c r="K89" s="29"/>
      <c r="L89" s="29"/>
    </row>
    <row r="90" spans="1:12" ht="16.25" customHeight="1" x14ac:dyDescent="0.2">
      <c r="A90" s="7">
        <v>45926</v>
      </c>
      <c r="B90" s="61">
        <v>1</v>
      </c>
      <c r="C90" s="60"/>
      <c r="D90" s="76"/>
      <c r="E90" s="81"/>
      <c r="F90" s="21"/>
      <c r="G90" s="27"/>
      <c r="H90" s="5"/>
      <c r="I90" s="5"/>
      <c r="J90" s="29"/>
      <c r="K90" s="29"/>
      <c r="L90" s="29"/>
    </row>
    <row r="91" spans="1:12" ht="16.25" customHeight="1" x14ac:dyDescent="0.2">
      <c r="A91" s="10">
        <v>45927</v>
      </c>
      <c r="B91" s="56" t="s">
        <v>20</v>
      </c>
      <c r="C91" s="57"/>
      <c r="D91" s="74"/>
      <c r="E91" s="74"/>
      <c r="F91" s="20"/>
      <c r="G91" s="26"/>
      <c r="H91" s="8"/>
      <c r="I91" s="8"/>
      <c r="J91" s="29"/>
      <c r="K91" s="29"/>
      <c r="L91" s="29"/>
    </row>
    <row r="92" spans="1:12" ht="16.25" customHeight="1" x14ac:dyDescent="0.2">
      <c r="A92" s="10">
        <v>45928</v>
      </c>
      <c r="B92" s="56" t="s">
        <v>20</v>
      </c>
      <c r="C92" s="57"/>
      <c r="D92" s="74"/>
      <c r="E92" s="74"/>
      <c r="F92" s="20"/>
      <c r="G92" s="26"/>
      <c r="H92" s="8"/>
      <c r="I92" s="8"/>
      <c r="J92" s="29"/>
      <c r="K92" s="29"/>
      <c r="L92" s="29"/>
    </row>
    <row r="93" spans="1:12" ht="16.25" customHeight="1" x14ac:dyDescent="0.2">
      <c r="A93" s="7">
        <v>45929</v>
      </c>
      <c r="B93" s="61">
        <v>2</v>
      </c>
      <c r="C93" s="60"/>
      <c r="D93" s="76"/>
      <c r="E93" s="76"/>
      <c r="F93" s="21"/>
      <c r="G93" s="27">
        <f>1+SUM(G84:G90)</f>
        <v>8</v>
      </c>
      <c r="H93" s="5"/>
      <c r="I93" s="5"/>
      <c r="J93" s="29"/>
      <c r="K93" s="29"/>
      <c r="L93" s="29"/>
    </row>
    <row r="94" spans="1:12" ht="16.25" customHeight="1" x14ac:dyDescent="0.2">
      <c r="A94" s="7">
        <v>45930</v>
      </c>
      <c r="B94" s="61">
        <v>3</v>
      </c>
      <c r="C94" s="60"/>
      <c r="D94" s="76"/>
      <c r="E94" s="76"/>
      <c r="F94" s="21"/>
      <c r="G94" s="27"/>
      <c r="H94" s="5"/>
      <c r="I94" s="5"/>
      <c r="J94" s="29"/>
      <c r="K94" s="29"/>
      <c r="L94" s="29"/>
    </row>
    <row r="95" spans="1:12" ht="16.25" customHeight="1" x14ac:dyDescent="0.2">
      <c r="A95" s="7">
        <v>45931</v>
      </c>
      <c r="B95" s="61">
        <v>4</v>
      </c>
      <c r="C95" s="60"/>
      <c r="D95" s="76" t="s">
        <v>291</v>
      </c>
      <c r="E95" s="76"/>
      <c r="F95" s="21"/>
      <c r="G95" s="27"/>
      <c r="H95" s="5"/>
      <c r="I95" s="5"/>
      <c r="J95" s="29"/>
      <c r="K95" s="29"/>
      <c r="L95" s="29"/>
    </row>
    <row r="96" spans="1:12" ht="16.25" customHeight="1" x14ac:dyDescent="0.2">
      <c r="A96" s="7">
        <v>45932</v>
      </c>
      <c r="B96" s="61">
        <v>5</v>
      </c>
      <c r="C96" s="60"/>
      <c r="D96" s="76"/>
      <c r="E96" s="76"/>
      <c r="F96" s="21"/>
      <c r="G96" s="27"/>
      <c r="H96" s="5"/>
      <c r="I96" s="5"/>
      <c r="J96" s="29"/>
      <c r="K96" s="29"/>
      <c r="L96" s="29"/>
    </row>
    <row r="97" spans="1:12" ht="16.25" customHeight="1" x14ac:dyDescent="0.2">
      <c r="A97" s="37">
        <v>45933</v>
      </c>
      <c r="B97" s="62">
        <v>6</v>
      </c>
      <c r="C97" s="63" t="s">
        <v>61</v>
      </c>
      <c r="D97" s="78"/>
      <c r="E97" s="78"/>
      <c r="F97" s="40">
        <v>6</v>
      </c>
      <c r="G97" s="41"/>
      <c r="H97" s="42"/>
      <c r="I97" s="42"/>
      <c r="J97" s="43"/>
      <c r="K97" s="43"/>
      <c r="L97" s="43"/>
    </row>
    <row r="98" spans="1:12" ht="16.25" customHeight="1" x14ac:dyDescent="0.2">
      <c r="A98" s="10">
        <v>45934</v>
      </c>
      <c r="B98" s="56" t="s">
        <v>62</v>
      </c>
      <c r="C98" s="57"/>
      <c r="D98" s="74"/>
      <c r="E98" s="74"/>
      <c r="F98" s="20"/>
      <c r="G98" s="26"/>
      <c r="H98" s="8"/>
      <c r="I98" s="8"/>
      <c r="J98" s="29" t="s">
        <v>63</v>
      </c>
      <c r="K98" s="29" t="s">
        <v>63</v>
      </c>
      <c r="L98" s="29" t="s">
        <v>63</v>
      </c>
    </row>
    <row r="99" spans="1:12" ht="16.25" customHeight="1" x14ac:dyDescent="0.2">
      <c r="A99" s="10">
        <v>45935</v>
      </c>
      <c r="B99" s="56" t="s">
        <v>62</v>
      </c>
      <c r="C99" s="57"/>
      <c r="D99" s="74"/>
      <c r="E99" s="74"/>
      <c r="F99" s="20"/>
      <c r="G99" s="26"/>
      <c r="H99" s="8"/>
      <c r="I99" s="8"/>
      <c r="J99" s="29" t="s">
        <v>63</v>
      </c>
      <c r="K99" s="29" t="s">
        <v>63</v>
      </c>
      <c r="L99" s="29" t="s">
        <v>63</v>
      </c>
    </row>
    <row r="100" spans="1:12" ht="16.25" customHeight="1" x14ac:dyDescent="0.2">
      <c r="A100" s="10">
        <v>45936</v>
      </c>
      <c r="B100" s="56" t="s">
        <v>62</v>
      </c>
      <c r="C100" s="57"/>
      <c r="D100" s="74"/>
      <c r="E100" s="74"/>
      <c r="F100" s="20"/>
      <c r="G100" s="26"/>
      <c r="H100" s="8"/>
      <c r="I100" s="8"/>
      <c r="J100" s="29" t="s">
        <v>63</v>
      </c>
      <c r="K100" s="29" t="s">
        <v>63</v>
      </c>
      <c r="L100" s="29" t="s">
        <v>63</v>
      </c>
    </row>
    <row r="101" spans="1:12" ht="16.25" customHeight="1" x14ac:dyDescent="0.2">
      <c r="A101" s="10">
        <v>45937</v>
      </c>
      <c r="B101" s="56" t="s">
        <v>62</v>
      </c>
      <c r="C101" s="57"/>
      <c r="D101" s="74"/>
      <c r="E101" s="74"/>
      <c r="F101" s="20"/>
      <c r="G101" s="26"/>
      <c r="H101" s="8"/>
      <c r="I101" s="8"/>
      <c r="J101" s="29" t="s">
        <v>63</v>
      </c>
      <c r="K101" s="29" t="s">
        <v>63</v>
      </c>
      <c r="L101" s="29" t="s">
        <v>63</v>
      </c>
    </row>
    <row r="102" spans="1:12" ht="16.25" customHeight="1" x14ac:dyDescent="0.2">
      <c r="A102" s="10">
        <v>45938</v>
      </c>
      <c r="B102" s="56" t="s">
        <v>62</v>
      </c>
      <c r="C102" s="57"/>
      <c r="D102" s="74"/>
      <c r="E102" s="74"/>
      <c r="F102" s="20"/>
      <c r="G102" s="26"/>
      <c r="H102" s="8"/>
      <c r="I102" s="8"/>
      <c r="J102" s="29" t="s">
        <v>63</v>
      </c>
      <c r="K102" s="29" t="s">
        <v>63</v>
      </c>
      <c r="L102" s="29" t="s">
        <v>63</v>
      </c>
    </row>
    <row r="103" spans="1:12" ht="16.25" customHeight="1" x14ac:dyDescent="0.2">
      <c r="A103" s="10">
        <v>45939</v>
      </c>
      <c r="B103" s="56" t="s">
        <v>62</v>
      </c>
      <c r="C103" s="57"/>
      <c r="D103" s="74"/>
      <c r="E103" s="74"/>
      <c r="F103" s="20"/>
      <c r="G103" s="26"/>
      <c r="H103" s="8"/>
      <c r="I103" s="8"/>
      <c r="J103" s="29" t="s">
        <v>63</v>
      </c>
      <c r="K103" s="29" t="s">
        <v>63</v>
      </c>
      <c r="L103" s="29" t="s">
        <v>63</v>
      </c>
    </row>
    <row r="104" spans="1:12" ht="16.25" customHeight="1" x14ac:dyDescent="0.2">
      <c r="A104" s="10">
        <v>45940</v>
      </c>
      <c r="B104" s="56" t="s">
        <v>62</v>
      </c>
      <c r="C104" s="57"/>
      <c r="D104" s="74"/>
      <c r="E104" s="74"/>
      <c r="F104" s="20"/>
      <c r="G104" s="26"/>
      <c r="H104" s="8"/>
      <c r="I104" s="8"/>
      <c r="J104" s="29" t="s">
        <v>63</v>
      </c>
      <c r="K104" s="29" t="s">
        <v>63</v>
      </c>
      <c r="L104" s="29" t="s">
        <v>63</v>
      </c>
    </row>
    <row r="105" spans="1:12" ht="16.25" customHeight="1" x14ac:dyDescent="0.2">
      <c r="A105" s="10">
        <v>45941</v>
      </c>
      <c r="B105" s="56" t="s">
        <v>62</v>
      </c>
      <c r="C105" s="57"/>
      <c r="D105" s="74"/>
      <c r="E105" s="74"/>
      <c r="F105" s="20"/>
      <c r="G105" s="26"/>
      <c r="H105" s="8"/>
      <c r="I105" s="8"/>
      <c r="J105" s="29" t="s">
        <v>63</v>
      </c>
      <c r="K105" s="29" t="s">
        <v>63</v>
      </c>
      <c r="L105" s="29" t="s">
        <v>63</v>
      </c>
    </row>
    <row r="106" spans="1:12" ht="16.25" customHeight="1" x14ac:dyDescent="0.2">
      <c r="A106" s="10">
        <v>45942</v>
      </c>
      <c r="B106" s="56" t="s">
        <v>62</v>
      </c>
      <c r="C106" s="57"/>
      <c r="D106" s="74"/>
      <c r="E106" s="74"/>
      <c r="F106" s="20"/>
      <c r="G106" s="26"/>
      <c r="H106" s="8"/>
      <c r="I106" s="8"/>
      <c r="J106" s="29" t="s">
        <v>63</v>
      </c>
      <c r="K106" s="29" t="s">
        <v>63</v>
      </c>
      <c r="L106" s="29" t="s">
        <v>63</v>
      </c>
    </row>
    <row r="107" spans="1:12" ht="16.25" customHeight="1" x14ac:dyDescent="0.2">
      <c r="A107" s="10">
        <v>45943</v>
      </c>
      <c r="B107" s="56" t="s">
        <v>17</v>
      </c>
      <c r="C107" s="57"/>
      <c r="D107" s="74"/>
      <c r="E107" s="74"/>
      <c r="F107" s="20"/>
      <c r="G107" s="26"/>
      <c r="H107" s="8"/>
      <c r="I107" s="8"/>
      <c r="J107" s="29" t="s">
        <v>63</v>
      </c>
      <c r="K107" s="29" t="s">
        <v>63</v>
      </c>
      <c r="L107" s="29" t="s">
        <v>63</v>
      </c>
    </row>
    <row r="108" spans="1:12" ht="16.25" customHeight="1" x14ac:dyDescent="0.2">
      <c r="A108" s="17">
        <v>45944</v>
      </c>
      <c r="B108" s="64" t="s">
        <v>64</v>
      </c>
      <c r="C108" s="65"/>
      <c r="D108" s="79"/>
      <c r="E108" s="79"/>
      <c r="F108" s="22"/>
      <c r="G108" s="28"/>
      <c r="H108" s="19"/>
      <c r="I108" s="19"/>
      <c r="J108" s="29" t="s">
        <v>65</v>
      </c>
      <c r="K108" s="29" t="s">
        <v>88</v>
      </c>
      <c r="L108" s="29"/>
    </row>
    <row r="109" spans="1:12" ht="16.25" customHeight="1" x14ac:dyDescent="0.2">
      <c r="A109" s="7">
        <v>45945</v>
      </c>
      <c r="B109" s="61">
        <v>1</v>
      </c>
      <c r="C109" s="60"/>
      <c r="D109" s="76"/>
      <c r="E109" s="76"/>
      <c r="F109" s="21"/>
      <c r="G109" s="27">
        <f>1+SUM(G92:G98)</f>
        <v>9</v>
      </c>
      <c r="H109" s="5"/>
      <c r="I109" s="5"/>
      <c r="J109" s="29" t="s">
        <v>88</v>
      </c>
      <c r="K109" s="29"/>
      <c r="L109" s="29"/>
    </row>
    <row r="110" spans="1:12" ht="16.25" customHeight="1" x14ac:dyDescent="0.2">
      <c r="A110" s="7">
        <v>45946</v>
      </c>
      <c r="B110" s="61">
        <v>2</v>
      </c>
      <c r="C110" s="60"/>
      <c r="D110" s="76"/>
      <c r="E110" s="76"/>
      <c r="F110" s="21"/>
      <c r="G110" s="27"/>
      <c r="H110" s="5"/>
      <c r="I110" s="5"/>
      <c r="J110" s="29"/>
      <c r="K110" s="29"/>
      <c r="L110" s="29"/>
    </row>
    <row r="111" spans="1:12" ht="16.25" customHeight="1" x14ac:dyDescent="0.2">
      <c r="A111" s="7">
        <v>45947</v>
      </c>
      <c r="B111" s="61">
        <v>3</v>
      </c>
      <c r="C111" s="60"/>
      <c r="D111" s="76"/>
      <c r="E111" s="76"/>
      <c r="F111" s="21"/>
      <c r="G111" s="27"/>
      <c r="H111" s="5"/>
      <c r="I111" s="5"/>
      <c r="J111" s="29"/>
      <c r="K111" s="29"/>
      <c r="L111" s="29"/>
    </row>
    <row r="112" spans="1:12" ht="16.25" customHeight="1" x14ac:dyDescent="0.2">
      <c r="A112" s="10">
        <v>45948</v>
      </c>
      <c r="B112" s="56" t="s">
        <v>20</v>
      </c>
      <c r="C112" s="57"/>
      <c r="D112" s="74"/>
      <c r="E112" s="74"/>
      <c r="F112" s="20"/>
      <c r="G112" s="26"/>
      <c r="H112" s="8"/>
      <c r="I112" s="8"/>
      <c r="J112" s="29"/>
      <c r="K112" s="29"/>
      <c r="L112" s="29"/>
    </row>
    <row r="113" spans="1:12" ht="16.25" customHeight="1" x14ac:dyDescent="0.2">
      <c r="A113" s="10">
        <v>45949</v>
      </c>
      <c r="B113" s="56" t="s">
        <v>20</v>
      </c>
      <c r="C113" s="57"/>
      <c r="D113" s="74"/>
      <c r="E113" s="74"/>
      <c r="F113" s="20"/>
      <c r="G113" s="26"/>
      <c r="H113" s="8"/>
      <c r="I113" s="8"/>
      <c r="J113" s="29"/>
      <c r="K113" s="29"/>
      <c r="L113" s="29"/>
    </row>
    <row r="114" spans="1:12" ht="16.25" customHeight="1" x14ac:dyDescent="0.2">
      <c r="A114" s="7">
        <v>45950</v>
      </c>
      <c r="B114" s="61">
        <v>4</v>
      </c>
      <c r="C114" s="60"/>
      <c r="D114" s="76" t="s">
        <v>149</v>
      </c>
      <c r="E114" s="76"/>
      <c r="F114" s="21"/>
      <c r="G114" s="27">
        <f>1+SUM(G105:G111)</f>
        <v>10</v>
      </c>
      <c r="H114" s="5"/>
      <c r="I114" s="5"/>
      <c r="J114" s="29"/>
      <c r="K114" s="29"/>
      <c r="L114" s="29"/>
    </row>
    <row r="115" spans="1:12" ht="16.25" customHeight="1" x14ac:dyDescent="0.2">
      <c r="A115" s="7">
        <v>45951</v>
      </c>
      <c r="B115" s="61">
        <v>5</v>
      </c>
      <c r="C115" s="60"/>
      <c r="D115" s="76" t="s">
        <v>149</v>
      </c>
      <c r="E115" s="76"/>
      <c r="F115" s="21"/>
      <c r="G115" s="27"/>
      <c r="H115" s="5"/>
      <c r="I115" s="5"/>
      <c r="J115" s="29"/>
      <c r="K115" s="29"/>
      <c r="L115" s="29"/>
    </row>
    <row r="116" spans="1:12" ht="16.25" customHeight="1" x14ac:dyDescent="0.2">
      <c r="A116" s="7">
        <v>45952</v>
      </c>
      <c r="B116" s="61">
        <v>6</v>
      </c>
      <c r="C116" s="60"/>
      <c r="D116" s="76" t="s">
        <v>292</v>
      </c>
      <c r="E116" s="76"/>
      <c r="F116" s="21">
        <v>7</v>
      </c>
      <c r="G116" s="27"/>
      <c r="H116" s="5"/>
      <c r="I116" s="5"/>
      <c r="J116" s="29"/>
      <c r="K116" s="29"/>
      <c r="L116" s="29"/>
    </row>
    <row r="117" spans="1:12" ht="16.25" customHeight="1" x14ac:dyDescent="0.2">
      <c r="A117" s="7">
        <v>45953</v>
      </c>
      <c r="B117" s="61">
        <v>1</v>
      </c>
      <c r="C117" s="60"/>
      <c r="D117" s="76" t="s">
        <v>149</v>
      </c>
      <c r="E117" s="76"/>
      <c r="F117" s="21"/>
      <c r="G117" s="27"/>
      <c r="H117" s="5"/>
      <c r="I117" s="5"/>
      <c r="J117" s="29"/>
      <c r="K117" s="29"/>
      <c r="L117" s="29"/>
    </row>
    <row r="118" spans="1:12" ht="16.25" customHeight="1" x14ac:dyDescent="0.2">
      <c r="A118" s="46">
        <v>45954</v>
      </c>
      <c r="B118" s="66" t="s">
        <v>51</v>
      </c>
      <c r="C118" s="67" t="s">
        <v>69</v>
      </c>
      <c r="D118" s="80"/>
      <c r="E118" s="80"/>
      <c r="F118" s="48"/>
      <c r="G118" s="49"/>
      <c r="H118" s="50"/>
      <c r="I118" s="50"/>
      <c r="J118" s="51"/>
      <c r="K118" s="51"/>
      <c r="L118" s="51"/>
    </row>
    <row r="119" spans="1:12" ht="16.25" customHeight="1" x14ac:dyDescent="0.2">
      <c r="A119" s="10">
        <v>45955</v>
      </c>
      <c r="B119" s="56" t="s">
        <v>20</v>
      </c>
      <c r="C119" s="57"/>
      <c r="D119" s="74"/>
      <c r="E119" s="74"/>
      <c r="F119" s="20"/>
      <c r="G119" s="26"/>
      <c r="H119" s="8"/>
      <c r="I119" s="8"/>
      <c r="J119" s="29"/>
      <c r="K119" s="29"/>
      <c r="L119" s="29"/>
    </row>
    <row r="120" spans="1:12" ht="16.25" customHeight="1" x14ac:dyDescent="0.2">
      <c r="A120" s="10">
        <v>45956</v>
      </c>
      <c r="B120" s="56" t="s">
        <v>20</v>
      </c>
      <c r="C120" s="57"/>
      <c r="D120" s="74"/>
      <c r="E120" s="74"/>
      <c r="F120" s="20"/>
      <c r="G120" s="26"/>
      <c r="H120" s="8"/>
      <c r="I120" s="8"/>
      <c r="J120" s="29"/>
      <c r="K120" s="29"/>
      <c r="L120" s="29"/>
    </row>
    <row r="121" spans="1:12" ht="16.25" customHeight="1" x14ac:dyDescent="0.2">
      <c r="A121" s="7">
        <v>45957</v>
      </c>
      <c r="B121" s="61">
        <v>2</v>
      </c>
      <c r="C121" s="60"/>
      <c r="D121" s="76"/>
      <c r="E121" s="76"/>
      <c r="F121" s="21"/>
      <c r="G121" s="27">
        <f>1+SUM(G112:G118)</f>
        <v>11</v>
      </c>
      <c r="H121" s="5"/>
      <c r="I121" s="5"/>
      <c r="J121" s="29"/>
      <c r="K121" s="29"/>
      <c r="L121" s="29"/>
    </row>
    <row r="122" spans="1:12" ht="16.25" customHeight="1" x14ac:dyDescent="0.2">
      <c r="A122" s="7">
        <v>45958</v>
      </c>
      <c r="B122" s="61">
        <v>3</v>
      </c>
      <c r="C122" s="60"/>
      <c r="D122" s="76" t="s">
        <v>293</v>
      </c>
      <c r="E122" s="76"/>
      <c r="F122" s="21"/>
      <c r="G122" s="27"/>
      <c r="H122" s="5"/>
      <c r="I122" s="5"/>
      <c r="J122" s="29"/>
      <c r="K122" s="29"/>
      <c r="L122" s="29"/>
    </row>
    <row r="123" spans="1:12" ht="16.25" customHeight="1" x14ac:dyDescent="0.2">
      <c r="A123" s="7">
        <v>45959</v>
      </c>
      <c r="B123" s="61">
        <v>4</v>
      </c>
      <c r="C123" s="60"/>
      <c r="D123" s="76"/>
      <c r="E123" s="76"/>
      <c r="F123" s="21"/>
      <c r="G123" s="27"/>
      <c r="H123" s="5"/>
      <c r="I123" s="5"/>
      <c r="J123" s="29"/>
      <c r="K123" s="29"/>
      <c r="L123" s="29"/>
    </row>
    <row r="124" spans="1:12" ht="16.25" customHeight="1" x14ac:dyDescent="0.2">
      <c r="A124" s="7">
        <v>45960</v>
      </c>
      <c r="B124" s="61">
        <v>5</v>
      </c>
      <c r="C124" s="60"/>
      <c r="D124" s="76"/>
      <c r="E124" s="76"/>
      <c r="F124" s="21"/>
      <c r="G124" s="27"/>
      <c r="H124" s="5"/>
      <c r="I124" s="5"/>
      <c r="J124" s="29"/>
      <c r="K124" s="29"/>
      <c r="L124" s="29"/>
    </row>
    <row r="125" spans="1:12" ht="16.25" customHeight="1" x14ac:dyDescent="0.2">
      <c r="A125" s="7">
        <v>45961</v>
      </c>
      <c r="B125" s="61">
        <v>6</v>
      </c>
      <c r="C125" s="60"/>
      <c r="D125" s="76"/>
      <c r="E125" s="76"/>
      <c r="F125" s="21">
        <v>8</v>
      </c>
      <c r="G125" s="27"/>
      <c r="H125" s="5"/>
      <c r="I125" s="5"/>
      <c r="J125" s="29"/>
      <c r="K125" s="29"/>
      <c r="L125" s="29"/>
    </row>
    <row r="126" spans="1:12" ht="16.25" customHeight="1" x14ac:dyDescent="0.2">
      <c r="A126" s="10">
        <v>45962</v>
      </c>
      <c r="B126" s="56" t="s">
        <v>20</v>
      </c>
      <c r="C126" s="57"/>
      <c r="D126" s="74"/>
      <c r="E126" s="74"/>
      <c r="F126" s="20"/>
      <c r="G126" s="26"/>
      <c r="H126" s="8"/>
      <c r="I126" s="8"/>
      <c r="J126" s="29"/>
      <c r="K126" s="29"/>
      <c r="L126" s="29"/>
    </row>
    <row r="127" spans="1:12" ht="16.25" customHeight="1" x14ac:dyDescent="0.2">
      <c r="A127" s="10">
        <v>45963</v>
      </c>
      <c r="B127" s="56" t="s">
        <v>20</v>
      </c>
      <c r="C127" s="57"/>
      <c r="D127" s="74"/>
      <c r="E127" s="74"/>
      <c r="F127" s="20"/>
      <c r="G127" s="26"/>
      <c r="H127" s="8"/>
      <c r="I127" s="8"/>
      <c r="J127" s="29"/>
      <c r="K127" s="29"/>
      <c r="L127" s="29"/>
    </row>
    <row r="128" spans="1:12" ht="16.25" customHeight="1" x14ac:dyDescent="0.2">
      <c r="A128" s="10">
        <v>45964</v>
      </c>
      <c r="B128" s="56" t="s">
        <v>17</v>
      </c>
      <c r="C128" s="57"/>
      <c r="D128" s="74"/>
      <c r="E128" s="74"/>
      <c r="F128" s="20"/>
      <c r="G128" s="26"/>
      <c r="H128" s="8"/>
      <c r="I128" s="8"/>
      <c r="J128" s="29"/>
      <c r="K128" s="29"/>
      <c r="L128" s="29"/>
    </row>
    <row r="129" spans="1:12" ht="16.25" customHeight="1" x14ac:dyDescent="0.2">
      <c r="A129" s="7">
        <v>45965</v>
      </c>
      <c r="B129" s="61">
        <v>1</v>
      </c>
      <c r="C129" s="60"/>
      <c r="D129" s="76"/>
      <c r="E129" s="76"/>
      <c r="F129" s="21"/>
      <c r="G129" s="27">
        <f>1+SUM(G120:G126)</f>
        <v>12</v>
      </c>
      <c r="H129" s="5"/>
      <c r="I129" s="5"/>
      <c r="J129" s="29"/>
      <c r="K129" s="29"/>
      <c r="L129" s="29"/>
    </row>
    <row r="130" spans="1:12" ht="16.25" customHeight="1" x14ac:dyDescent="0.2">
      <c r="A130" s="7">
        <v>45966</v>
      </c>
      <c r="B130" s="61">
        <v>2</v>
      </c>
      <c r="C130" s="60"/>
      <c r="D130" s="76"/>
      <c r="E130" s="76"/>
      <c r="F130" s="21"/>
      <c r="G130" s="27"/>
      <c r="H130" s="5"/>
      <c r="I130" s="5"/>
      <c r="J130" s="29"/>
      <c r="K130" s="29"/>
      <c r="L130" s="29"/>
    </row>
    <row r="131" spans="1:12" ht="16.25" customHeight="1" x14ac:dyDescent="0.2">
      <c r="A131" s="7">
        <v>45967</v>
      </c>
      <c r="B131" s="61">
        <v>3</v>
      </c>
      <c r="C131" s="60"/>
      <c r="D131" s="76"/>
      <c r="E131" s="76"/>
      <c r="F131" s="21"/>
      <c r="G131" s="27"/>
      <c r="H131" s="5"/>
      <c r="I131" s="5"/>
      <c r="J131" s="29"/>
      <c r="K131" s="29"/>
      <c r="L131" s="29"/>
    </row>
    <row r="132" spans="1:12" ht="16.25" customHeight="1" x14ac:dyDescent="0.2">
      <c r="A132" s="7">
        <v>45968</v>
      </c>
      <c r="B132" s="61">
        <v>4</v>
      </c>
      <c r="C132" s="60"/>
      <c r="D132" s="76"/>
      <c r="E132" s="76"/>
      <c r="F132" s="21"/>
      <c r="G132" s="27"/>
      <c r="H132" s="5"/>
      <c r="I132" s="5"/>
      <c r="J132" s="29"/>
      <c r="K132" s="29"/>
      <c r="L132" s="29"/>
    </row>
    <row r="133" spans="1:12" ht="16.25" customHeight="1" x14ac:dyDescent="0.2">
      <c r="A133" s="10">
        <v>45969</v>
      </c>
      <c r="B133" s="56" t="s">
        <v>20</v>
      </c>
      <c r="C133" s="57"/>
      <c r="D133" s="74"/>
      <c r="E133" s="74"/>
      <c r="F133" s="20"/>
      <c r="G133" s="26"/>
      <c r="H133" s="8"/>
      <c r="I133" s="8"/>
      <c r="J133" s="29"/>
      <c r="K133" s="29"/>
      <c r="L133" s="29"/>
    </row>
    <row r="134" spans="1:12" ht="16.25" customHeight="1" x14ac:dyDescent="0.2">
      <c r="A134" s="10">
        <v>45970</v>
      </c>
      <c r="B134" s="56" t="s">
        <v>20</v>
      </c>
      <c r="C134" s="57"/>
      <c r="D134" s="74"/>
      <c r="E134" s="74"/>
      <c r="F134" s="20"/>
      <c r="G134" s="26"/>
      <c r="H134" s="8"/>
      <c r="I134" s="8"/>
      <c r="J134" s="29"/>
      <c r="K134" s="29"/>
      <c r="L134" s="29"/>
    </row>
    <row r="135" spans="1:12" ht="16.25" customHeight="1" x14ac:dyDescent="0.2">
      <c r="A135" s="7">
        <v>45971</v>
      </c>
      <c r="B135" s="61">
        <v>5</v>
      </c>
      <c r="C135" s="60"/>
      <c r="D135" s="76" t="s">
        <v>294</v>
      </c>
      <c r="E135" s="76"/>
      <c r="F135" s="21"/>
      <c r="G135" s="27">
        <f>1+SUM(G126:G132)</f>
        <v>13</v>
      </c>
      <c r="H135" s="5"/>
      <c r="I135" s="5"/>
      <c r="J135" s="29"/>
      <c r="K135" s="29"/>
      <c r="L135" s="29"/>
    </row>
    <row r="136" spans="1:12" ht="16.25" customHeight="1" x14ac:dyDescent="0.2">
      <c r="A136" s="7">
        <v>45972</v>
      </c>
      <c r="B136" s="61">
        <v>6</v>
      </c>
      <c r="C136" s="60"/>
      <c r="D136" s="76"/>
      <c r="E136" s="76"/>
      <c r="F136" s="21">
        <v>9</v>
      </c>
      <c r="G136" s="27"/>
      <c r="H136" s="5"/>
      <c r="I136" s="5"/>
      <c r="J136" s="29"/>
      <c r="K136" s="29"/>
      <c r="L136" s="29"/>
    </row>
    <row r="137" spans="1:12" ht="16.25" customHeight="1" x14ac:dyDescent="0.2">
      <c r="A137" s="7">
        <v>45973</v>
      </c>
      <c r="B137" s="61">
        <v>1</v>
      </c>
      <c r="C137" s="60"/>
      <c r="D137" s="76"/>
      <c r="E137" s="76"/>
      <c r="F137" s="21"/>
      <c r="G137" s="27"/>
      <c r="H137" s="5"/>
      <c r="I137" s="5"/>
      <c r="J137" s="29"/>
      <c r="K137" s="29"/>
      <c r="L137" s="29"/>
    </row>
    <row r="138" spans="1:12" ht="16.25" customHeight="1" x14ac:dyDescent="0.2">
      <c r="A138" s="7">
        <v>45974</v>
      </c>
      <c r="B138" s="61">
        <v>2</v>
      </c>
      <c r="C138" s="60"/>
      <c r="D138" s="76"/>
      <c r="E138" s="76"/>
      <c r="F138" s="21"/>
      <c r="G138" s="27"/>
      <c r="H138" s="5"/>
      <c r="I138" s="5"/>
      <c r="J138" s="29"/>
      <c r="K138" s="29"/>
      <c r="L138" s="29"/>
    </row>
    <row r="139" spans="1:12" ht="16.25" customHeight="1" x14ac:dyDescent="0.2">
      <c r="A139" s="7">
        <v>45975</v>
      </c>
      <c r="B139" s="61">
        <v>3</v>
      </c>
      <c r="C139" s="60"/>
      <c r="D139" s="76"/>
      <c r="E139" s="76"/>
      <c r="F139" s="21"/>
      <c r="G139" s="27"/>
      <c r="H139" s="5"/>
      <c r="I139" s="5"/>
      <c r="J139" s="29" t="s">
        <v>65</v>
      </c>
      <c r="K139" s="29"/>
      <c r="L139" s="29"/>
    </row>
    <row r="140" spans="1:12" ht="16.25" customHeight="1" x14ac:dyDescent="0.2">
      <c r="A140" s="10">
        <v>45976</v>
      </c>
      <c r="B140" s="56" t="s">
        <v>20</v>
      </c>
      <c r="C140" s="57"/>
      <c r="D140" s="74"/>
      <c r="E140" s="74"/>
      <c r="F140" s="20"/>
      <c r="G140" s="26"/>
      <c r="H140" s="8"/>
      <c r="I140" s="8"/>
      <c r="J140" s="29"/>
      <c r="K140" s="29"/>
      <c r="L140" s="29"/>
    </row>
    <row r="141" spans="1:12" ht="16.25" customHeight="1" x14ac:dyDescent="0.2">
      <c r="A141" s="10">
        <v>45977</v>
      </c>
      <c r="B141" s="56" t="s">
        <v>20</v>
      </c>
      <c r="C141" s="57"/>
      <c r="D141" s="74"/>
      <c r="E141" s="74"/>
      <c r="F141" s="20"/>
      <c r="G141" s="26"/>
      <c r="H141" s="8"/>
      <c r="I141" s="8"/>
      <c r="J141" s="29"/>
      <c r="K141" s="29"/>
      <c r="L141" s="29"/>
    </row>
    <row r="142" spans="1:12" ht="16.25" customHeight="1" x14ac:dyDescent="0.2">
      <c r="A142" s="10">
        <v>45978</v>
      </c>
      <c r="B142" s="56" t="s">
        <v>17</v>
      </c>
      <c r="C142" s="57"/>
      <c r="D142" s="74"/>
      <c r="E142" s="74"/>
      <c r="F142" s="20"/>
      <c r="G142" s="26"/>
      <c r="H142" s="8"/>
      <c r="I142" s="8"/>
      <c r="J142" s="29"/>
      <c r="K142" s="29"/>
      <c r="L142" s="29"/>
    </row>
    <row r="143" spans="1:12" ht="16.25" customHeight="1" x14ac:dyDescent="0.2">
      <c r="A143" s="7">
        <v>45979</v>
      </c>
      <c r="B143" s="61">
        <v>4</v>
      </c>
      <c r="C143" s="60"/>
      <c r="D143" s="76" t="s">
        <v>295</v>
      </c>
      <c r="E143" s="76"/>
      <c r="F143" s="21"/>
      <c r="G143" s="27">
        <f>1+SUM(G134:G140)</f>
        <v>14</v>
      </c>
      <c r="H143" s="5"/>
      <c r="I143" s="5"/>
      <c r="J143" s="29"/>
      <c r="K143" s="29"/>
      <c r="L143" s="29"/>
    </row>
    <row r="144" spans="1:12" ht="16.25" customHeight="1" x14ac:dyDescent="0.2">
      <c r="A144" s="7">
        <v>45980</v>
      </c>
      <c r="B144" s="61">
        <v>5</v>
      </c>
      <c r="C144" s="60"/>
      <c r="D144" s="76"/>
      <c r="E144" s="76"/>
      <c r="F144" s="21"/>
      <c r="G144" s="27"/>
      <c r="H144" s="5"/>
      <c r="I144" s="5"/>
      <c r="J144" s="29"/>
      <c r="K144" s="29"/>
      <c r="L144" s="29"/>
    </row>
    <row r="145" spans="1:12" ht="16.25" customHeight="1" x14ac:dyDescent="0.2">
      <c r="A145" s="7">
        <v>45981</v>
      </c>
      <c r="B145" s="61">
        <v>6</v>
      </c>
      <c r="C145" s="60"/>
      <c r="D145" s="76" t="s">
        <v>296</v>
      </c>
      <c r="E145" s="76"/>
      <c r="F145" s="21">
        <v>10</v>
      </c>
      <c r="G145" s="27"/>
      <c r="H145" s="5"/>
      <c r="I145" s="5"/>
      <c r="J145" s="29"/>
      <c r="K145" s="29"/>
      <c r="L145" s="29"/>
    </row>
    <row r="146" spans="1:12" ht="16.25" customHeight="1" x14ac:dyDescent="0.2">
      <c r="A146" s="7">
        <v>45982</v>
      </c>
      <c r="B146" s="61">
        <v>1</v>
      </c>
      <c r="C146" s="60"/>
      <c r="D146" s="76" t="s">
        <v>297</v>
      </c>
      <c r="E146" s="76"/>
      <c r="F146" s="21"/>
      <c r="G146" s="27"/>
      <c r="H146" s="5"/>
      <c r="I146" s="5"/>
      <c r="J146" s="29"/>
      <c r="K146" s="29"/>
      <c r="L146" s="29"/>
    </row>
    <row r="147" spans="1:12" ht="16.25" customHeight="1" x14ac:dyDescent="0.2">
      <c r="A147" s="10">
        <v>45983</v>
      </c>
      <c r="B147" s="56" t="s">
        <v>20</v>
      </c>
      <c r="C147" s="57"/>
      <c r="D147" s="74"/>
      <c r="E147" s="74"/>
      <c r="F147" s="20"/>
      <c r="G147" s="26"/>
      <c r="H147" s="8"/>
      <c r="I147" s="8"/>
      <c r="J147" s="29"/>
      <c r="K147" s="29"/>
      <c r="L147" s="29"/>
    </row>
    <row r="148" spans="1:12" ht="16.25" customHeight="1" x14ac:dyDescent="0.2">
      <c r="A148" s="10">
        <v>45984</v>
      </c>
      <c r="B148" s="56" t="s">
        <v>20</v>
      </c>
      <c r="C148" s="57"/>
      <c r="D148" s="74"/>
      <c r="E148" s="74"/>
      <c r="F148" s="20"/>
      <c r="G148" s="26"/>
      <c r="H148" s="8"/>
      <c r="I148" s="8"/>
      <c r="J148" s="29"/>
      <c r="K148" s="29"/>
      <c r="L148" s="29"/>
    </row>
    <row r="149" spans="1:12" ht="16.25" customHeight="1" x14ac:dyDescent="0.2">
      <c r="A149" s="7">
        <v>45985</v>
      </c>
      <c r="B149" s="61">
        <v>2</v>
      </c>
      <c r="C149" s="60"/>
      <c r="D149" s="76"/>
      <c r="E149" s="76"/>
      <c r="F149" s="21"/>
      <c r="G149" s="27">
        <f>1+SUM(G140:G146)</f>
        <v>15</v>
      </c>
      <c r="H149" s="5"/>
      <c r="I149" s="5"/>
      <c r="J149" s="29"/>
      <c r="K149" s="29"/>
      <c r="L149" s="29"/>
    </row>
    <row r="150" spans="1:12" ht="16.25" customHeight="1" x14ac:dyDescent="0.2">
      <c r="A150" s="7">
        <v>45986</v>
      </c>
      <c r="B150" s="61">
        <v>3</v>
      </c>
      <c r="C150" s="60"/>
      <c r="D150" s="76" t="s">
        <v>298</v>
      </c>
      <c r="E150" s="76"/>
      <c r="F150" s="21"/>
      <c r="G150" s="27"/>
      <c r="H150" s="5"/>
      <c r="I150" s="5"/>
      <c r="J150" s="29"/>
      <c r="K150" s="29"/>
      <c r="L150" s="29"/>
    </row>
    <row r="151" spans="1:12" ht="16.25" customHeight="1" x14ac:dyDescent="0.2">
      <c r="A151" s="7">
        <v>45987</v>
      </c>
      <c r="B151" s="61">
        <v>4</v>
      </c>
      <c r="C151" s="60"/>
      <c r="D151" s="76"/>
      <c r="E151" s="76"/>
      <c r="F151" s="21"/>
      <c r="G151" s="27"/>
      <c r="H151" s="5"/>
      <c r="I151" s="5"/>
      <c r="J151" s="29"/>
      <c r="K151" s="29"/>
      <c r="L151" s="29"/>
    </row>
    <row r="152" spans="1:12" ht="16.25" customHeight="1" x14ac:dyDescent="0.2">
      <c r="A152" s="7">
        <v>45988</v>
      </c>
      <c r="B152" s="61">
        <v>5</v>
      </c>
      <c r="C152" s="60"/>
      <c r="D152" s="76"/>
      <c r="E152" s="76"/>
      <c r="F152" s="21"/>
      <c r="G152" s="27"/>
      <c r="H152" s="5"/>
      <c r="I152" s="5"/>
      <c r="J152" s="29"/>
      <c r="K152" s="29"/>
      <c r="L152" s="29"/>
    </row>
    <row r="153" spans="1:12" ht="16.25" customHeight="1" x14ac:dyDescent="0.2">
      <c r="A153" s="7">
        <v>45989</v>
      </c>
      <c r="B153" s="58" t="s">
        <v>51</v>
      </c>
      <c r="C153" s="60" t="s">
        <v>162</v>
      </c>
      <c r="D153" s="76"/>
      <c r="E153" s="76"/>
      <c r="F153" s="21"/>
      <c r="G153" s="27"/>
      <c r="H153" s="5"/>
      <c r="I153" s="5"/>
      <c r="J153" s="29"/>
      <c r="K153" s="29"/>
      <c r="L153" s="29"/>
    </row>
    <row r="154" spans="1:12" ht="16.25" customHeight="1" x14ac:dyDescent="0.2">
      <c r="A154" s="10">
        <v>45990</v>
      </c>
      <c r="B154" s="56" t="s">
        <v>20</v>
      </c>
      <c r="C154" s="57"/>
      <c r="D154" s="74"/>
      <c r="E154" s="74"/>
      <c r="F154" s="20"/>
      <c r="G154" s="26"/>
      <c r="H154" s="8"/>
      <c r="I154" s="8"/>
      <c r="J154" s="29"/>
      <c r="K154" s="29"/>
      <c r="L154" s="29"/>
    </row>
    <row r="155" spans="1:12" ht="16.25" customHeight="1" x14ac:dyDescent="0.2">
      <c r="A155" s="10">
        <v>45991</v>
      </c>
      <c r="B155" s="56" t="s">
        <v>20</v>
      </c>
      <c r="C155" s="57"/>
      <c r="D155" s="74"/>
      <c r="E155" s="74"/>
      <c r="F155" s="20"/>
      <c r="G155" s="26"/>
      <c r="H155" s="8"/>
      <c r="I155" s="8"/>
      <c r="J155" s="29"/>
      <c r="K155" s="29"/>
      <c r="L155" s="29"/>
    </row>
    <row r="156" spans="1:12" ht="16.25" customHeight="1" x14ac:dyDescent="0.2">
      <c r="A156" s="7">
        <v>45992</v>
      </c>
      <c r="B156" s="61">
        <v>6</v>
      </c>
      <c r="C156" s="60"/>
      <c r="D156" s="76"/>
      <c r="E156" s="76"/>
      <c r="F156" s="21">
        <v>11</v>
      </c>
      <c r="G156" s="27">
        <f>1+SUM(G147:G153)</f>
        <v>16</v>
      </c>
      <c r="H156" s="5"/>
      <c r="I156" s="5"/>
      <c r="J156" s="29"/>
      <c r="K156" s="29"/>
      <c r="L156" s="29"/>
    </row>
    <row r="157" spans="1:12" ht="16.25" customHeight="1" x14ac:dyDescent="0.2">
      <c r="A157" s="7">
        <v>45993</v>
      </c>
      <c r="B157" s="61">
        <v>1</v>
      </c>
      <c r="C157" s="60"/>
      <c r="D157" s="76"/>
      <c r="E157" s="76"/>
      <c r="F157" s="21"/>
      <c r="G157" s="27"/>
      <c r="H157" s="5"/>
      <c r="I157" s="5"/>
      <c r="J157" s="29"/>
      <c r="K157" s="29"/>
      <c r="L157" s="29"/>
    </row>
    <row r="158" spans="1:12" ht="16.25" customHeight="1" x14ac:dyDescent="0.2">
      <c r="A158" s="7">
        <v>45994</v>
      </c>
      <c r="B158" s="61">
        <v>2</v>
      </c>
      <c r="C158" s="60" t="s">
        <v>77</v>
      </c>
      <c r="D158" s="76" t="s">
        <v>284</v>
      </c>
      <c r="E158" s="76"/>
      <c r="F158" s="21"/>
      <c r="G158" s="27"/>
      <c r="H158" s="5"/>
      <c r="I158" s="5"/>
      <c r="J158" s="29"/>
      <c r="K158" s="29"/>
      <c r="L158" s="29"/>
    </row>
    <row r="159" spans="1:12" ht="16.25" customHeight="1" x14ac:dyDescent="0.2">
      <c r="A159" s="7">
        <v>45995</v>
      </c>
      <c r="B159" s="61">
        <v>3</v>
      </c>
      <c r="C159" s="60" t="s">
        <v>77</v>
      </c>
      <c r="D159" s="83" t="s">
        <v>33</v>
      </c>
      <c r="E159" s="76"/>
      <c r="F159" s="21"/>
      <c r="G159" s="27"/>
      <c r="H159" s="5"/>
      <c r="I159" s="5"/>
      <c r="J159" s="29"/>
      <c r="K159" s="29"/>
      <c r="L159" s="29"/>
    </row>
    <row r="160" spans="1:12" ht="16.25" customHeight="1" x14ac:dyDescent="0.2">
      <c r="A160" s="7">
        <v>45996</v>
      </c>
      <c r="B160" s="61">
        <v>4</v>
      </c>
      <c r="C160" s="60" t="s">
        <v>77</v>
      </c>
      <c r="D160" s="83" t="s">
        <v>33</v>
      </c>
      <c r="E160" s="76"/>
      <c r="F160" s="21"/>
      <c r="G160" s="27"/>
      <c r="H160" s="5"/>
      <c r="I160" s="5"/>
      <c r="J160" s="29"/>
      <c r="K160" s="29"/>
      <c r="L160" s="29"/>
    </row>
    <row r="161" spans="1:12" ht="16.25" customHeight="1" x14ac:dyDescent="0.2">
      <c r="A161" s="10">
        <v>45997</v>
      </c>
      <c r="B161" s="56" t="s">
        <v>20</v>
      </c>
      <c r="C161" s="57"/>
      <c r="D161" s="74"/>
      <c r="E161" s="74"/>
      <c r="F161" s="20"/>
      <c r="G161" s="26"/>
      <c r="H161" s="8"/>
      <c r="I161" s="8"/>
      <c r="J161" s="29"/>
      <c r="K161" s="29"/>
      <c r="L161" s="29"/>
    </row>
    <row r="162" spans="1:12" ht="16.25" customHeight="1" x14ac:dyDescent="0.2">
      <c r="A162" s="10">
        <v>45998</v>
      </c>
      <c r="B162" s="56" t="s">
        <v>20</v>
      </c>
      <c r="C162" s="57"/>
      <c r="D162" s="74"/>
      <c r="E162" s="74"/>
      <c r="F162" s="20"/>
      <c r="G162" s="26"/>
      <c r="H162" s="8"/>
      <c r="I162" s="8"/>
      <c r="J162" s="29"/>
      <c r="K162" s="29"/>
      <c r="L162" s="29"/>
    </row>
    <row r="163" spans="1:12" ht="16.25" customHeight="1" x14ac:dyDescent="0.2">
      <c r="A163" s="10">
        <v>45999</v>
      </c>
      <c r="B163" s="56" t="s">
        <v>17</v>
      </c>
      <c r="C163" s="57"/>
      <c r="D163" s="74"/>
      <c r="E163" s="74"/>
      <c r="F163" s="20"/>
      <c r="G163" s="26"/>
      <c r="H163" s="8"/>
      <c r="I163" s="8"/>
      <c r="J163" s="29"/>
      <c r="K163" s="29"/>
      <c r="L163" s="29"/>
    </row>
    <row r="164" spans="1:12" ht="16.25" customHeight="1" x14ac:dyDescent="0.2">
      <c r="A164" s="7">
        <v>46000</v>
      </c>
      <c r="B164" s="61">
        <v>5</v>
      </c>
      <c r="C164" s="60" t="s">
        <v>77</v>
      </c>
      <c r="D164" s="83" t="s">
        <v>33</v>
      </c>
      <c r="E164" s="76"/>
      <c r="F164" s="21"/>
      <c r="G164" s="27">
        <f>1+SUM(G155:G161)</f>
        <v>17</v>
      </c>
      <c r="H164" s="5"/>
      <c r="I164" s="5"/>
      <c r="J164" s="29"/>
      <c r="K164" s="29"/>
      <c r="L164" s="29"/>
    </row>
    <row r="165" spans="1:12" ht="16.25" customHeight="1" x14ac:dyDescent="0.2">
      <c r="A165" s="7">
        <v>46001</v>
      </c>
      <c r="B165" s="61">
        <v>6</v>
      </c>
      <c r="C165" s="60" t="s">
        <v>77</v>
      </c>
      <c r="D165" s="83" t="s">
        <v>299</v>
      </c>
      <c r="E165" s="76"/>
      <c r="F165" s="21">
        <v>12</v>
      </c>
      <c r="G165" s="27"/>
      <c r="H165" s="5"/>
      <c r="I165" s="5"/>
      <c r="J165" s="29"/>
      <c r="K165" s="29"/>
      <c r="L165" s="29"/>
    </row>
    <row r="166" spans="1:12" ht="16.25" customHeight="1" x14ac:dyDescent="0.2">
      <c r="A166" s="7">
        <v>46002</v>
      </c>
      <c r="B166" s="61">
        <v>1</v>
      </c>
      <c r="C166" s="60" t="s">
        <v>77</v>
      </c>
      <c r="D166" s="76"/>
      <c r="E166" s="76"/>
      <c r="F166" s="21"/>
      <c r="G166" s="27"/>
      <c r="H166" s="5"/>
      <c r="I166" s="5"/>
      <c r="J166" s="29"/>
      <c r="K166" s="29" t="s">
        <v>79</v>
      </c>
      <c r="L166" s="29"/>
    </row>
    <row r="167" spans="1:12" ht="16.25" customHeight="1" x14ac:dyDescent="0.2">
      <c r="A167" s="7">
        <v>46003</v>
      </c>
      <c r="B167" s="61">
        <v>2</v>
      </c>
      <c r="C167" s="60" t="s">
        <v>77</v>
      </c>
      <c r="D167" s="76"/>
      <c r="E167" s="76"/>
      <c r="F167" s="21"/>
      <c r="G167" s="27"/>
      <c r="H167" s="5"/>
      <c r="I167" s="5"/>
      <c r="J167" s="29"/>
      <c r="K167" s="29" t="s">
        <v>80</v>
      </c>
      <c r="L167" s="29"/>
    </row>
    <row r="168" spans="1:12" ht="16.25" customHeight="1" x14ac:dyDescent="0.2">
      <c r="A168" s="10">
        <v>46004</v>
      </c>
      <c r="B168" s="56" t="s">
        <v>20</v>
      </c>
      <c r="C168" s="57"/>
      <c r="D168" s="74"/>
      <c r="E168" s="74"/>
      <c r="F168" s="20"/>
      <c r="G168" s="26"/>
      <c r="H168" s="8"/>
      <c r="I168" s="8"/>
      <c r="J168" s="29" t="s">
        <v>81</v>
      </c>
      <c r="K168" s="29" t="s">
        <v>81</v>
      </c>
      <c r="L168" s="29" t="s">
        <v>81</v>
      </c>
    </row>
    <row r="169" spans="1:12" ht="16.25" customHeight="1" x14ac:dyDescent="0.2">
      <c r="A169" s="10">
        <v>46005</v>
      </c>
      <c r="B169" s="56" t="s">
        <v>20</v>
      </c>
      <c r="C169" s="57"/>
      <c r="D169" s="74"/>
      <c r="E169" s="74"/>
      <c r="F169" s="20"/>
      <c r="G169" s="26"/>
      <c r="H169" s="8"/>
      <c r="I169" s="8"/>
      <c r="J169" s="29" t="s">
        <v>81</v>
      </c>
      <c r="K169" s="29" t="s">
        <v>81</v>
      </c>
      <c r="L169" s="29" t="s">
        <v>81</v>
      </c>
    </row>
    <row r="170" spans="1:12" ht="16.25" customHeight="1" x14ac:dyDescent="0.2">
      <c r="A170" s="7">
        <v>46006</v>
      </c>
      <c r="B170" s="58" t="s">
        <v>51</v>
      </c>
      <c r="C170" s="60" t="s">
        <v>82</v>
      </c>
      <c r="D170" s="76"/>
      <c r="E170" s="76"/>
      <c r="F170" s="21"/>
      <c r="G170" s="27">
        <f>1+SUM(G161:G167)</f>
        <v>18</v>
      </c>
      <c r="H170" s="5"/>
      <c r="I170" s="5"/>
      <c r="J170" s="29" t="s">
        <v>81</v>
      </c>
      <c r="K170" s="29" t="s">
        <v>81</v>
      </c>
      <c r="L170" s="29" t="s">
        <v>81</v>
      </c>
    </row>
    <row r="171" spans="1:12" ht="16.25" customHeight="1" x14ac:dyDescent="0.2">
      <c r="A171" s="37">
        <v>46007</v>
      </c>
      <c r="B171" s="68" t="s">
        <v>51</v>
      </c>
      <c r="C171" s="63" t="s">
        <v>83</v>
      </c>
      <c r="D171" s="78"/>
      <c r="E171" s="78"/>
      <c r="F171" s="40"/>
      <c r="G171" s="41"/>
      <c r="H171" s="42"/>
      <c r="I171" s="42"/>
      <c r="J171" s="43" t="s">
        <v>81</v>
      </c>
      <c r="K171" s="43" t="s">
        <v>81</v>
      </c>
      <c r="L171" s="43" t="s">
        <v>81</v>
      </c>
    </row>
    <row r="172" spans="1:12" ht="16.25" customHeight="1" x14ac:dyDescent="0.2">
      <c r="A172" s="10">
        <v>46008</v>
      </c>
      <c r="B172" s="56" t="s">
        <v>84</v>
      </c>
      <c r="C172" s="57"/>
      <c r="D172" s="74"/>
      <c r="E172" s="74"/>
      <c r="F172" s="20"/>
      <c r="G172" s="26"/>
      <c r="H172" s="8"/>
      <c r="I172" s="8"/>
      <c r="J172" s="29" t="s">
        <v>81</v>
      </c>
      <c r="K172" s="29" t="s">
        <v>81</v>
      </c>
      <c r="L172" s="29" t="s">
        <v>81</v>
      </c>
    </row>
    <row r="173" spans="1:12" ht="16.25" customHeight="1" x14ac:dyDescent="0.2">
      <c r="A173" s="10">
        <v>46009</v>
      </c>
      <c r="B173" s="56" t="s">
        <v>84</v>
      </c>
      <c r="C173" s="57"/>
      <c r="D173" s="74"/>
      <c r="E173" s="74"/>
      <c r="F173" s="20"/>
      <c r="G173" s="26"/>
      <c r="H173" s="8"/>
      <c r="I173" s="8"/>
      <c r="J173" s="29" t="s">
        <v>81</v>
      </c>
      <c r="K173" s="29" t="s">
        <v>81</v>
      </c>
      <c r="L173" s="29" t="s">
        <v>81</v>
      </c>
    </row>
    <row r="174" spans="1:12" ht="16.25" customHeight="1" x14ac:dyDescent="0.2">
      <c r="A174" s="10">
        <v>46010</v>
      </c>
      <c r="B174" s="56" t="s">
        <v>84</v>
      </c>
      <c r="C174" s="57"/>
      <c r="D174" s="74"/>
      <c r="E174" s="74"/>
      <c r="F174" s="20"/>
      <c r="G174" s="26"/>
      <c r="H174" s="8"/>
      <c r="I174" s="8"/>
      <c r="J174" s="29" t="s">
        <v>81</v>
      </c>
      <c r="K174" s="29" t="s">
        <v>81</v>
      </c>
      <c r="L174" s="29" t="s">
        <v>81</v>
      </c>
    </row>
    <row r="175" spans="1:12" ht="16.25" customHeight="1" x14ac:dyDescent="0.2">
      <c r="A175" s="10">
        <v>46011</v>
      </c>
      <c r="B175" s="56" t="s">
        <v>20</v>
      </c>
      <c r="C175" s="57"/>
      <c r="D175" s="74"/>
      <c r="E175" s="74"/>
      <c r="F175" s="20"/>
      <c r="G175" s="26"/>
      <c r="H175" s="8"/>
      <c r="I175" s="8"/>
      <c r="J175" s="29" t="s">
        <v>81</v>
      </c>
      <c r="K175" s="29" t="s">
        <v>81</v>
      </c>
      <c r="L175" s="29" t="s">
        <v>81</v>
      </c>
    </row>
    <row r="176" spans="1:12" ht="16.25" customHeight="1" x14ac:dyDescent="0.2">
      <c r="A176" s="10">
        <v>46012</v>
      </c>
      <c r="B176" s="56" t="s">
        <v>20</v>
      </c>
      <c r="C176" s="57"/>
      <c r="D176" s="74"/>
      <c r="E176" s="74"/>
      <c r="F176" s="20"/>
      <c r="G176" s="26"/>
      <c r="H176" s="8"/>
      <c r="I176" s="8"/>
      <c r="J176" s="29" t="s">
        <v>81</v>
      </c>
      <c r="K176" s="29" t="s">
        <v>81</v>
      </c>
      <c r="L176" s="29" t="s">
        <v>81</v>
      </c>
    </row>
    <row r="177" spans="1:12" ht="16.25" customHeight="1" x14ac:dyDescent="0.2">
      <c r="A177" s="10">
        <v>46013</v>
      </c>
      <c r="B177" s="56" t="s">
        <v>84</v>
      </c>
      <c r="C177" s="57"/>
      <c r="D177" s="74"/>
      <c r="E177" s="74"/>
      <c r="F177" s="20"/>
      <c r="G177" s="26"/>
      <c r="H177" s="8"/>
      <c r="I177" s="8"/>
      <c r="J177" s="29" t="s">
        <v>81</v>
      </c>
      <c r="K177" s="29" t="s">
        <v>81</v>
      </c>
      <c r="L177" s="29" t="s">
        <v>81</v>
      </c>
    </row>
    <row r="178" spans="1:12" ht="16.25" customHeight="1" x14ac:dyDescent="0.2">
      <c r="A178" s="10">
        <v>46014</v>
      </c>
      <c r="B178" s="56" t="s">
        <v>84</v>
      </c>
      <c r="C178" s="57"/>
      <c r="D178" s="74"/>
      <c r="E178" s="74"/>
      <c r="F178" s="20"/>
      <c r="G178" s="26"/>
      <c r="H178" s="8"/>
      <c r="I178" s="8"/>
      <c r="J178" s="29" t="s">
        <v>81</v>
      </c>
      <c r="K178" s="29" t="s">
        <v>81</v>
      </c>
      <c r="L178" s="29" t="s">
        <v>81</v>
      </c>
    </row>
    <row r="179" spans="1:12" ht="16.25" customHeight="1" x14ac:dyDescent="0.2">
      <c r="A179" s="10">
        <v>46015</v>
      </c>
      <c r="B179" s="56" t="s">
        <v>84</v>
      </c>
      <c r="C179" s="57"/>
      <c r="D179" s="74"/>
      <c r="E179" s="74"/>
      <c r="F179" s="20"/>
      <c r="G179" s="26"/>
      <c r="H179" s="8"/>
      <c r="I179" s="8"/>
      <c r="J179" s="29" t="s">
        <v>81</v>
      </c>
      <c r="K179" s="29" t="s">
        <v>81</v>
      </c>
      <c r="L179" s="29" t="s">
        <v>81</v>
      </c>
    </row>
    <row r="180" spans="1:12" ht="16.25" customHeight="1" x14ac:dyDescent="0.2">
      <c r="A180" s="10">
        <v>46016</v>
      </c>
      <c r="B180" s="56" t="s">
        <v>17</v>
      </c>
      <c r="C180" s="57"/>
      <c r="D180" s="74"/>
      <c r="E180" s="74"/>
      <c r="F180" s="20"/>
      <c r="G180" s="26"/>
      <c r="H180" s="8"/>
      <c r="I180" s="8"/>
      <c r="J180" s="29" t="s">
        <v>81</v>
      </c>
      <c r="K180" s="29" t="s">
        <v>81</v>
      </c>
      <c r="L180" s="29" t="s">
        <v>81</v>
      </c>
    </row>
    <row r="181" spans="1:12" ht="16.25" customHeight="1" x14ac:dyDescent="0.2">
      <c r="A181" s="10">
        <v>46017</v>
      </c>
      <c r="B181" s="56" t="s">
        <v>84</v>
      </c>
      <c r="C181" s="57"/>
      <c r="D181" s="74"/>
      <c r="E181" s="74"/>
      <c r="F181" s="20"/>
      <c r="G181" s="26"/>
      <c r="H181" s="8"/>
      <c r="I181" s="8"/>
      <c r="J181" s="29" t="s">
        <v>81</v>
      </c>
      <c r="K181" s="29" t="s">
        <v>81</v>
      </c>
      <c r="L181" s="29" t="s">
        <v>81</v>
      </c>
    </row>
    <row r="182" spans="1:12" ht="16.25" customHeight="1" x14ac:dyDescent="0.2">
      <c r="A182" s="10">
        <v>46018</v>
      </c>
      <c r="B182" s="56" t="s">
        <v>20</v>
      </c>
      <c r="C182" s="57"/>
      <c r="D182" s="74"/>
      <c r="E182" s="74"/>
      <c r="F182" s="20"/>
      <c r="G182" s="26"/>
      <c r="H182" s="8"/>
      <c r="I182" s="8"/>
      <c r="J182" s="29" t="s">
        <v>81</v>
      </c>
      <c r="K182" s="29" t="s">
        <v>81</v>
      </c>
      <c r="L182" s="29" t="s">
        <v>81</v>
      </c>
    </row>
    <row r="183" spans="1:12" ht="16.25" customHeight="1" x14ac:dyDescent="0.2">
      <c r="A183" s="10">
        <v>46019</v>
      </c>
      <c r="B183" s="56" t="s">
        <v>20</v>
      </c>
      <c r="C183" s="57"/>
      <c r="D183" s="74"/>
      <c r="E183" s="74"/>
      <c r="F183" s="20"/>
      <c r="G183" s="26"/>
      <c r="H183" s="8"/>
      <c r="I183" s="8"/>
      <c r="J183" s="29" t="s">
        <v>81</v>
      </c>
      <c r="K183" s="29" t="s">
        <v>81</v>
      </c>
      <c r="L183" s="29" t="s">
        <v>81</v>
      </c>
    </row>
    <row r="184" spans="1:12" ht="16.25" customHeight="1" x14ac:dyDescent="0.2">
      <c r="A184" s="10">
        <v>46020</v>
      </c>
      <c r="B184" s="56" t="s">
        <v>84</v>
      </c>
      <c r="C184" s="57"/>
      <c r="D184" s="74"/>
      <c r="E184" s="74"/>
      <c r="F184" s="20"/>
      <c r="G184" s="26"/>
      <c r="H184" s="8"/>
      <c r="I184" s="8"/>
      <c r="J184" s="29" t="s">
        <v>81</v>
      </c>
      <c r="K184" s="29" t="s">
        <v>81</v>
      </c>
      <c r="L184" s="29" t="s">
        <v>81</v>
      </c>
    </row>
    <row r="185" spans="1:12" ht="16.25" customHeight="1" x14ac:dyDescent="0.2">
      <c r="A185" s="10">
        <v>46021</v>
      </c>
      <c r="B185" s="56" t="s">
        <v>84</v>
      </c>
      <c r="C185" s="57"/>
      <c r="D185" s="74"/>
      <c r="E185" s="74"/>
      <c r="F185" s="20"/>
      <c r="G185" s="26"/>
      <c r="H185" s="8"/>
      <c r="I185" s="8"/>
      <c r="J185" s="29" t="s">
        <v>81</v>
      </c>
      <c r="K185" s="29" t="s">
        <v>81</v>
      </c>
      <c r="L185" s="29" t="s">
        <v>81</v>
      </c>
    </row>
    <row r="186" spans="1:12" ht="16.25" customHeight="1" x14ac:dyDescent="0.2">
      <c r="A186" s="10">
        <v>46022</v>
      </c>
      <c r="B186" s="56" t="s">
        <v>84</v>
      </c>
      <c r="C186" s="57"/>
      <c r="D186" s="74"/>
      <c r="E186" s="74"/>
      <c r="F186" s="20"/>
      <c r="G186" s="26"/>
      <c r="H186" s="8"/>
      <c r="I186" s="8"/>
      <c r="J186" s="29" t="s">
        <v>81</v>
      </c>
      <c r="K186" s="29" t="s">
        <v>81</v>
      </c>
      <c r="L186" s="29" t="s">
        <v>81</v>
      </c>
    </row>
    <row r="187" spans="1:12" ht="16.25" customHeight="1" x14ac:dyDescent="0.2">
      <c r="A187" s="10">
        <v>46023</v>
      </c>
      <c r="B187" s="56" t="s">
        <v>17</v>
      </c>
      <c r="C187" s="57"/>
      <c r="D187" s="74"/>
      <c r="E187" s="74"/>
      <c r="F187" s="20"/>
      <c r="G187" s="26"/>
      <c r="H187" s="8"/>
      <c r="I187" s="8"/>
      <c r="J187" s="29" t="s">
        <v>81</v>
      </c>
      <c r="K187" s="29" t="s">
        <v>81</v>
      </c>
      <c r="L187" s="29" t="s">
        <v>81</v>
      </c>
    </row>
    <row r="188" spans="1:12" ht="16.25" customHeight="1" x14ac:dyDescent="0.2">
      <c r="A188" s="10">
        <v>46024</v>
      </c>
      <c r="B188" s="56" t="s">
        <v>84</v>
      </c>
      <c r="C188" s="57"/>
      <c r="D188" s="74"/>
      <c r="E188" s="74"/>
      <c r="F188" s="20"/>
      <c r="G188" s="26"/>
      <c r="H188" s="8"/>
      <c r="I188" s="8"/>
      <c r="J188" s="29" t="s">
        <v>81</v>
      </c>
      <c r="K188" s="29" t="s">
        <v>81</v>
      </c>
      <c r="L188" s="29" t="s">
        <v>81</v>
      </c>
    </row>
    <row r="189" spans="1:12" ht="16.25" customHeight="1" x14ac:dyDescent="0.2">
      <c r="A189" s="10">
        <v>46025</v>
      </c>
      <c r="B189" s="56" t="s">
        <v>20</v>
      </c>
      <c r="C189" s="57"/>
      <c r="D189" s="74"/>
      <c r="E189" s="74"/>
      <c r="F189" s="20"/>
      <c r="G189" s="26"/>
      <c r="H189" s="8"/>
      <c r="I189" s="8"/>
      <c r="J189" s="29" t="s">
        <v>81</v>
      </c>
      <c r="K189" s="29" t="s">
        <v>81</v>
      </c>
      <c r="L189" s="29" t="s">
        <v>81</v>
      </c>
    </row>
    <row r="190" spans="1:12" ht="16.25" customHeight="1" x14ac:dyDescent="0.2">
      <c r="A190" s="10">
        <v>46026</v>
      </c>
      <c r="B190" s="56" t="s">
        <v>20</v>
      </c>
      <c r="C190" s="57"/>
      <c r="D190" s="74"/>
      <c r="E190" s="74"/>
      <c r="F190" s="20"/>
      <c r="G190" s="26"/>
      <c r="H190" s="8"/>
      <c r="I190" s="8"/>
      <c r="J190" s="29" t="s">
        <v>81</v>
      </c>
      <c r="K190" s="29" t="s">
        <v>81</v>
      </c>
      <c r="L190" s="29" t="s">
        <v>81</v>
      </c>
    </row>
    <row r="191" spans="1:12" ht="16.25" customHeight="1" x14ac:dyDescent="0.2">
      <c r="A191" s="10">
        <v>46027</v>
      </c>
      <c r="B191" s="56" t="s">
        <v>84</v>
      </c>
      <c r="C191" s="57"/>
      <c r="D191" s="74"/>
      <c r="E191" s="74"/>
      <c r="F191" s="20"/>
      <c r="G191" s="26"/>
      <c r="H191" s="8"/>
      <c r="I191" s="8"/>
      <c r="J191" s="29" t="s">
        <v>81</v>
      </c>
      <c r="K191" s="29" t="s">
        <v>81</v>
      </c>
      <c r="L191" s="29" t="s">
        <v>81</v>
      </c>
    </row>
    <row r="192" spans="1:12" ht="16.25" customHeight="1" x14ac:dyDescent="0.2">
      <c r="A192" s="10">
        <v>46028</v>
      </c>
      <c r="B192" s="56" t="s">
        <v>84</v>
      </c>
      <c r="C192" s="57"/>
      <c r="D192" s="74"/>
      <c r="E192" s="74"/>
      <c r="F192" s="20"/>
      <c r="G192" s="26"/>
      <c r="H192" s="8"/>
      <c r="I192" s="8"/>
      <c r="J192" s="29" t="s">
        <v>81</v>
      </c>
      <c r="K192" s="29" t="s">
        <v>81</v>
      </c>
      <c r="L192" s="29" t="s">
        <v>81</v>
      </c>
    </row>
    <row r="193" spans="1:12" ht="16.25" customHeight="1" x14ac:dyDescent="0.2">
      <c r="A193" s="17">
        <v>46029</v>
      </c>
      <c r="B193" s="64" t="s">
        <v>85</v>
      </c>
      <c r="C193" s="65"/>
      <c r="D193" s="79"/>
      <c r="E193" s="79"/>
      <c r="F193" s="22"/>
      <c r="G193" s="28"/>
      <c r="H193" s="19"/>
      <c r="I193" s="19"/>
      <c r="J193" s="32" t="s">
        <v>81</v>
      </c>
      <c r="K193" s="32" t="s">
        <v>81</v>
      </c>
      <c r="L193" s="32" t="s">
        <v>81</v>
      </c>
    </row>
    <row r="194" spans="1:12" ht="16.25" customHeight="1" x14ac:dyDescent="0.2">
      <c r="A194" s="7">
        <v>46030</v>
      </c>
      <c r="B194" s="61">
        <v>3</v>
      </c>
      <c r="C194" s="60"/>
      <c r="D194" s="76"/>
      <c r="E194" s="76"/>
      <c r="F194" s="21"/>
      <c r="G194" s="27">
        <f>1+SUM(G169:G175)</f>
        <v>19</v>
      </c>
      <c r="H194" s="5"/>
      <c r="I194" s="5"/>
      <c r="J194" s="29" t="s">
        <v>81</v>
      </c>
      <c r="K194" s="29" t="s">
        <v>81</v>
      </c>
      <c r="L194" s="29" t="s">
        <v>81</v>
      </c>
    </row>
    <row r="195" spans="1:12" ht="16.25" customHeight="1" x14ac:dyDescent="0.2">
      <c r="A195" s="7">
        <v>46031</v>
      </c>
      <c r="B195" s="61">
        <v>4</v>
      </c>
      <c r="C195" s="60"/>
      <c r="D195" s="76"/>
      <c r="E195" s="76"/>
      <c r="F195" s="21"/>
      <c r="G195" s="27"/>
      <c r="H195" s="5"/>
      <c r="I195" s="5"/>
      <c r="J195" s="29" t="s">
        <v>81</v>
      </c>
      <c r="K195" s="29" t="s">
        <v>81</v>
      </c>
      <c r="L195" s="29" t="s">
        <v>81</v>
      </c>
    </row>
    <row r="196" spans="1:12" ht="16.25" customHeight="1" x14ac:dyDescent="0.2">
      <c r="A196" s="10">
        <v>46032</v>
      </c>
      <c r="B196" s="56" t="s">
        <v>20</v>
      </c>
      <c r="C196" s="57"/>
      <c r="D196" s="74"/>
      <c r="E196" s="74"/>
      <c r="F196" s="20"/>
      <c r="G196" s="26"/>
      <c r="H196" s="8"/>
      <c r="I196" s="8"/>
      <c r="J196" s="29" t="s">
        <v>81</v>
      </c>
      <c r="K196" s="29" t="s">
        <v>81</v>
      </c>
      <c r="L196" s="29" t="s">
        <v>81</v>
      </c>
    </row>
    <row r="197" spans="1:12" ht="16.25" customHeight="1" x14ac:dyDescent="0.2">
      <c r="A197" s="10">
        <v>46033</v>
      </c>
      <c r="B197" s="56" t="s">
        <v>20</v>
      </c>
      <c r="C197" s="57"/>
      <c r="D197" s="74"/>
      <c r="E197" s="74"/>
      <c r="F197" s="20"/>
      <c r="G197" s="26"/>
      <c r="H197" s="8"/>
      <c r="I197" s="8"/>
      <c r="J197" s="29" t="s">
        <v>81</v>
      </c>
      <c r="K197" s="29" t="s">
        <v>81</v>
      </c>
      <c r="L197" s="29" t="s">
        <v>81</v>
      </c>
    </row>
    <row r="198" spans="1:12" ht="16.25" customHeight="1" x14ac:dyDescent="0.2">
      <c r="A198" s="10">
        <v>46034</v>
      </c>
      <c r="B198" s="56" t="s">
        <v>17</v>
      </c>
      <c r="C198" s="57"/>
      <c r="D198" s="74"/>
      <c r="E198" s="74"/>
      <c r="F198" s="20"/>
      <c r="G198" s="26"/>
      <c r="H198" s="8"/>
      <c r="I198" s="8"/>
      <c r="J198" s="29" t="s">
        <v>81</v>
      </c>
      <c r="K198" s="29" t="s">
        <v>81</v>
      </c>
      <c r="L198" s="29" t="s">
        <v>81</v>
      </c>
    </row>
    <row r="199" spans="1:12" ht="16.25" customHeight="1" x14ac:dyDescent="0.2">
      <c r="A199" s="7">
        <v>46035</v>
      </c>
      <c r="B199" s="61">
        <v>5</v>
      </c>
      <c r="C199" s="60"/>
      <c r="D199" s="76"/>
      <c r="E199" s="76"/>
      <c r="F199" s="21"/>
      <c r="G199" s="27">
        <f>1+SUM(G190:G196)</f>
        <v>20</v>
      </c>
      <c r="H199" s="5"/>
      <c r="I199" s="5"/>
      <c r="J199" s="29" t="s">
        <v>65</v>
      </c>
      <c r="K199" s="29" t="s">
        <v>87</v>
      </c>
      <c r="L199" s="29" t="s">
        <v>81</v>
      </c>
    </row>
    <row r="200" spans="1:12" ht="16.25" customHeight="1" x14ac:dyDescent="0.2">
      <c r="A200" s="7">
        <v>46036</v>
      </c>
      <c r="B200" s="61">
        <v>6</v>
      </c>
      <c r="C200" s="60"/>
      <c r="D200" s="76"/>
      <c r="E200" s="76"/>
      <c r="F200" s="21">
        <v>13</v>
      </c>
      <c r="G200" s="27"/>
      <c r="H200" s="5"/>
      <c r="I200" s="5"/>
      <c r="J200" s="29" t="s">
        <v>88</v>
      </c>
      <c r="K200" s="29"/>
      <c r="L200" s="29"/>
    </row>
    <row r="201" spans="1:12" ht="16.25" customHeight="1" x14ac:dyDescent="0.2">
      <c r="A201" s="7">
        <v>46037</v>
      </c>
      <c r="B201" s="61">
        <v>1</v>
      </c>
      <c r="C201" s="60"/>
      <c r="D201" s="76"/>
      <c r="E201" s="76"/>
      <c r="F201" s="21"/>
      <c r="G201" s="27"/>
      <c r="H201" s="5"/>
      <c r="I201" s="5"/>
      <c r="J201" s="29"/>
      <c r="K201" s="29"/>
      <c r="L201" s="29"/>
    </row>
    <row r="202" spans="1:12" ht="16.25" customHeight="1" x14ac:dyDescent="0.2">
      <c r="A202" s="46">
        <v>46038</v>
      </c>
      <c r="B202" s="66" t="s">
        <v>51</v>
      </c>
      <c r="C202" s="67" t="s">
        <v>89</v>
      </c>
      <c r="D202" s="80"/>
      <c r="E202" s="80"/>
      <c r="F202" s="48"/>
      <c r="G202" s="49"/>
      <c r="H202" s="50"/>
      <c r="I202" s="50"/>
      <c r="J202" s="51"/>
      <c r="K202" s="51"/>
      <c r="L202" s="51"/>
    </row>
    <row r="203" spans="1:12" ht="16.25" customHeight="1" x14ac:dyDescent="0.2">
      <c r="A203" s="10">
        <v>46039</v>
      </c>
      <c r="B203" s="56" t="s">
        <v>20</v>
      </c>
      <c r="C203" s="57"/>
      <c r="D203" s="74"/>
      <c r="E203" s="74"/>
      <c r="F203" s="20"/>
      <c r="G203" s="26"/>
      <c r="H203" s="8"/>
      <c r="I203" s="8"/>
      <c r="J203" s="29"/>
      <c r="K203" s="29"/>
      <c r="L203" s="29"/>
    </row>
    <row r="204" spans="1:12" ht="16.25" customHeight="1" x14ac:dyDescent="0.2">
      <c r="A204" s="10">
        <v>46040</v>
      </c>
      <c r="B204" s="56" t="s">
        <v>20</v>
      </c>
      <c r="C204" s="57"/>
      <c r="D204" s="74"/>
      <c r="E204" s="74"/>
      <c r="F204" s="20"/>
      <c r="G204" s="26"/>
      <c r="H204" s="8"/>
      <c r="I204" s="8"/>
      <c r="J204" s="29"/>
      <c r="K204" s="29"/>
      <c r="L204" s="29"/>
    </row>
    <row r="205" spans="1:12" ht="16.25" customHeight="1" x14ac:dyDescent="0.2">
      <c r="A205" s="7">
        <v>46041</v>
      </c>
      <c r="B205" s="61">
        <v>2</v>
      </c>
      <c r="C205" s="60"/>
      <c r="D205" s="76"/>
      <c r="E205" s="76"/>
      <c r="F205" s="21"/>
      <c r="G205" s="27">
        <f>1+SUM(G196:G202)</f>
        <v>21</v>
      </c>
      <c r="H205" s="5"/>
      <c r="I205" s="5"/>
      <c r="J205" s="29"/>
      <c r="K205" s="29"/>
      <c r="L205" s="29"/>
    </row>
    <row r="206" spans="1:12" ht="16.25" customHeight="1" x14ac:dyDescent="0.2">
      <c r="A206" s="7">
        <v>46042</v>
      </c>
      <c r="B206" s="61">
        <v>3</v>
      </c>
      <c r="C206" s="60"/>
      <c r="D206" s="76"/>
      <c r="E206" s="76"/>
      <c r="F206" s="21"/>
      <c r="G206" s="27"/>
      <c r="H206" s="5"/>
      <c r="I206" s="5"/>
      <c r="J206" s="29"/>
      <c r="K206" s="29"/>
      <c r="L206" s="29"/>
    </row>
    <row r="207" spans="1:12" ht="16.25" customHeight="1" x14ac:dyDescent="0.2">
      <c r="A207" s="7">
        <v>46043</v>
      </c>
      <c r="B207" s="61">
        <v>4</v>
      </c>
      <c r="C207" s="60"/>
      <c r="D207" s="76"/>
      <c r="E207" s="76"/>
      <c r="F207" s="21"/>
      <c r="G207" s="27"/>
      <c r="H207" s="5"/>
      <c r="I207" s="5"/>
      <c r="J207" s="29"/>
      <c r="K207" s="29"/>
      <c r="L207" s="29"/>
    </row>
    <row r="208" spans="1:12" ht="16.25" customHeight="1" x14ac:dyDescent="0.2">
      <c r="A208" s="7">
        <v>46044</v>
      </c>
      <c r="B208" s="61">
        <v>5</v>
      </c>
      <c r="C208" s="60"/>
      <c r="D208" s="76"/>
      <c r="E208" s="76"/>
      <c r="F208" s="21"/>
      <c r="G208" s="27"/>
      <c r="H208" s="5"/>
      <c r="I208" s="5"/>
      <c r="J208" s="29"/>
      <c r="K208" s="29"/>
      <c r="L208" s="29"/>
    </row>
    <row r="209" spans="1:12" ht="16.25" customHeight="1" x14ac:dyDescent="0.2">
      <c r="A209" s="7">
        <v>46045</v>
      </c>
      <c r="B209" s="61">
        <v>6</v>
      </c>
      <c r="C209" s="60"/>
      <c r="D209" s="76"/>
      <c r="E209" s="76"/>
      <c r="F209" s="21">
        <v>14</v>
      </c>
      <c r="G209" s="27"/>
      <c r="H209" s="5"/>
      <c r="I209" s="5"/>
      <c r="J209" s="29"/>
      <c r="K209" s="29"/>
      <c r="L209" s="29"/>
    </row>
    <row r="210" spans="1:12" ht="16.25" customHeight="1" x14ac:dyDescent="0.2">
      <c r="A210" s="10">
        <v>46046</v>
      </c>
      <c r="B210" s="56" t="s">
        <v>20</v>
      </c>
      <c r="C210" s="57"/>
      <c r="D210" s="74"/>
      <c r="E210" s="74"/>
      <c r="F210" s="20"/>
      <c r="G210" s="26"/>
      <c r="H210" s="8"/>
      <c r="I210" s="8"/>
      <c r="J210" s="29"/>
      <c r="K210" s="29"/>
      <c r="L210" s="29"/>
    </row>
    <row r="211" spans="1:12" ht="16.25" customHeight="1" x14ac:dyDescent="0.2">
      <c r="A211" s="10">
        <v>46047</v>
      </c>
      <c r="B211" s="56" t="s">
        <v>20</v>
      </c>
      <c r="C211" s="57"/>
      <c r="D211" s="74"/>
      <c r="E211" s="74"/>
      <c r="F211" s="20"/>
      <c r="G211" s="26"/>
      <c r="H211" s="8"/>
      <c r="I211" s="8"/>
      <c r="J211" s="29"/>
      <c r="K211" s="29"/>
      <c r="L211" s="29"/>
    </row>
    <row r="212" spans="1:12" ht="16.25" customHeight="1" x14ac:dyDescent="0.2">
      <c r="A212" s="7">
        <v>46048</v>
      </c>
      <c r="B212" s="61">
        <v>1</v>
      </c>
      <c r="C212" s="60"/>
      <c r="D212" s="76"/>
      <c r="E212" s="76"/>
      <c r="F212" s="21"/>
      <c r="G212" s="27">
        <f>1+SUM(G203:G209)</f>
        <v>22</v>
      </c>
      <c r="H212" s="5"/>
      <c r="I212" s="5"/>
      <c r="J212" s="29"/>
      <c r="K212" s="29"/>
      <c r="L212" s="29"/>
    </row>
    <row r="213" spans="1:12" ht="16.25" customHeight="1" x14ac:dyDescent="0.2">
      <c r="A213" s="7">
        <v>46049</v>
      </c>
      <c r="B213" s="61">
        <v>2</v>
      </c>
      <c r="C213" s="60"/>
      <c r="D213" s="76" t="s">
        <v>300</v>
      </c>
      <c r="E213" s="76"/>
      <c r="F213" s="21"/>
      <c r="G213" s="27"/>
      <c r="H213" s="5"/>
      <c r="I213" s="5"/>
      <c r="J213" s="29"/>
      <c r="K213" s="29"/>
      <c r="L213" s="29"/>
    </row>
    <row r="214" spans="1:12" ht="16.25" customHeight="1" x14ac:dyDescent="0.2">
      <c r="A214" s="7">
        <v>46050</v>
      </c>
      <c r="B214" s="61">
        <v>3</v>
      </c>
      <c r="C214" s="60"/>
      <c r="D214" s="76"/>
      <c r="E214" s="76"/>
      <c r="F214" s="21"/>
      <c r="G214" s="27"/>
      <c r="H214" s="5"/>
      <c r="I214" s="5"/>
      <c r="J214" s="29"/>
      <c r="K214" s="29"/>
      <c r="L214" s="29"/>
    </row>
    <row r="215" spans="1:12" ht="16.25" customHeight="1" x14ac:dyDescent="0.2">
      <c r="A215" s="7">
        <v>46051</v>
      </c>
      <c r="B215" s="61">
        <v>4</v>
      </c>
      <c r="C215" s="60"/>
      <c r="D215" s="76"/>
      <c r="E215" s="76"/>
      <c r="F215" s="21"/>
      <c r="G215" s="27"/>
      <c r="H215" s="5"/>
      <c r="I215" s="5"/>
      <c r="J215" s="29"/>
      <c r="K215" s="29"/>
      <c r="L215" s="29"/>
    </row>
    <row r="216" spans="1:12" ht="16.25" customHeight="1" x14ac:dyDescent="0.2">
      <c r="A216" s="7">
        <v>46052</v>
      </c>
      <c r="B216" s="61">
        <v>5</v>
      </c>
      <c r="C216" s="60"/>
      <c r="D216" s="76"/>
      <c r="E216" s="76"/>
      <c r="F216" s="21"/>
      <c r="G216" s="27"/>
      <c r="H216" s="5"/>
      <c r="I216" s="5"/>
      <c r="J216" s="29"/>
      <c r="K216" s="29"/>
      <c r="L216" s="29"/>
    </row>
    <row r="217" spans="1:12" ht="16.25" customHeight="1" x14ac:dyDescent="0.2">
      <c r="A217" s="10">
        <v>46053</v>
      </c>
      <c r="B217" s="56" t="s">
        <v>20</v>
      </c>
      <c r="C217" s="57"/>
      <c r="D217" s="74"/>
      <c r="E217" s="74"/>
      <c r="F217" s="20"/>
      <c r="G217" s="26"/>
      <c r="H217" s="8"/>
      <c r="I217" s="8"/>
      <c r="J217" s="29"/>
      <c r="K217" s="29"/>
      <c r="L217" s="29"/>
    </row>
    <row r="218" spans="1:12" ht="16.25" customHeight="1" x14ac:dyDescent="0.2">
      <c r="A218" s="10">
        <v>46054</v>
      </c>
      <c r="B218" s="56" t="s">
        <v>20</v>
      </c>
      <c r="C218" s="57"/>
      <c r="D218" s="74"/>
      <c r="E218" s="74"/>
      <c r="F218" s="20"/>
      <c r="G218" s="26"/>
      <c r="H218" s="8"/>
      <c r="I218" s="8"/>
      <c r="J218" s="29"/>
      <c r="K218" s="29"/>
      <c r="L218" s="29"/>
    </row>
    <row r="219" spans="1:12" ht="16.25" customHeight="1" x14ac:dyDescent="0.2">
      <c r="A219" s="7">
        <v>46055</v>
      </c>
      <c r="B219" s="61">
        <v>6</v>
      </c>
      <c r="C219" s="60"/>
      <c r="D219" s="76" t="s">
        <v>284</v>
      </c>
      <c r="E219" s="76"/>
      <c r="F219" s="21">
        <v>15</v>
      </c>
      <c r="G219" s="27">
        <f>1+SUM(G210:G216)</f>
        <v>23</v>
      </c>
      <c r="H219" s="5"/>
      <c r="I219" s="5"/>
      <c r="J219" s="29"/>
      <c r="K219" s="29"/>
      <c r="L219" s="29"/>
    </row>
    <row r="220" spans="1:12" ht="16.25" customHeight="1" x14ac:dyDescent="0.2">
      <c r="A220" s="7">
        <v>46056</v>
      </c>
      <c r="B220" s="61">
        <v>1</v>
      </c>
      <c r="C220" s="60"/>
      <c r="D220" s="76" t="s">
        <v>284</v>
      </c>
      <c r="E220" s="76"/>
      <c r="F220" s="21"/>
      <c r="G220" s="27"/>
      <c r="H220" s="5"/>
      <c r="I220" s="5"/>
      <c r="J220" s="29"/>
      <c r="K220" s="29"/>
      <c r="L220" s="29"/>
    </row>
    <row r="221" spans="1:12" ht="16.25" customHeight="1" x14ac:dyDescent="0.2">
      <c r="A221" s="7">
        <v>46057</v>
      </c>
      <c r="B221" s="61">
        <v>2</v>
      </c>
      <c r="C221" s="60"/>
      <c r="D221" s="76" t="s">
        <v>284</v>
      </c>
      <c r="E221" s="76"/>
      <c r="F221" s="21"/>
      <c r="G221" s="27"/>
      <c r="H221" s="5"/>
      <c r="I221" s="5"/>
      <c r="J221" s="29"/>
      <c r="K221" s="29"/>
      <c r="L221" s="29"/>
    </row>
    <row r="222" spans="1:12" ht="16.25" customHeight="1" x14ac:dyDescent="0.2">
      <c r="A222" s="7">
        <v>46058</v>
      </c>
      <c r="B222" s="61">
        <v>3</v>
      </c>
      <c r="C222" s="60"/>
      <c r="D222" s="76" t="s">
        <v>284</v>
      </c>
      <c r="E222" s="76"/>
      <c r="F222" s="21"/>
      <c r="G222" s="27"/>
      <c r="H222" s="5"/>
      <c r="I222" s="5"/>
      <c r="J222" s="29"/>
      <c r="K222" s="29"/>
      <c r="L222" s="29"/>
    </row>
    <row r="223" spans="1:12" ht="16.25" customHeight="1" x14ac:dyDescent="0.2">
      <c r="A223" s="7">
        <v>46059</v>
      </c>
      <c r="B223" s="61">
        <v>4</v>
      </c>
      <c r="C223" s="60"/>
      <c r="D223" s="76" t="s">
        <v>299</v>
      </c>
      <c r="E223" s="76"/>
      <c r="F223" s="21"/>
      <c r="G223" s="27"/>
      <c r="H223" s="5"/>
      <c r="I223" s="5"/>
      <c r="J223" s="29"/>
      <c r="K223" s="29"/>
      <c r="L223" s="29"/>
    </row>
    <row r="224" spans="1:12" ht="16.25" customHeight="1" x14ac:dyDescent="0.2">
      <c r="A224" s="10">
        <v>46060</v>
      </c>
      <c r="B224" s="56" t="s">
        <v>20</v>
      </c>
      <c r="C224" s="57"/>
      <c r="D224" s="74"/>
      <c r="E224" s="74"/>
      <c r="F224" s="20"/>
      <c r="G224" s="26"/>
      <c r="H224" s="8"/>
      <c r="I224" s="8"/>
      <c r="J224" s="29"/>
      <c r="K224" s="29"/>
      <c r="L224" s="29"/>
    </row>
    <row r="225" spans="1:12" ht="16.25" customHeight="1" x14ac:dyDescent="0.2">
      <c r="A225" s="10">
        <v>46061</v>
      </c>
      <c r="B225" s="56" t="s">
        <v>20</v>
      </c>
      <c r="C225" s="57"/>
      <c r="D225" s="74"/>
      <c r="E225" s="74"/>
      <c r="F225" s="20"/>
      <c r="G225" s="26"/>
      <c r="H225" s="8"/>
      <c r="I225" s="8"/>
      <c r="J225" s="29"/>
      <c r="K225" s="29"/>
      <c r="L225" s="29"/>
    </row>
    <row r="226" spans="1:12" ht="16.25" customHeight="1" x14ac:dyDescent="0.2">
      <c r="A226" s="7">
        <v>46062</v>
      </c>
      <c r="B226" s="61">
        <v>5</v>
      </c>
      <c r="C226" s="60"/>
      <c r="D226" s="76"/>
      <c r="E226" s="76"/>
      <c r="F226" s="21"/>
      <c r="G226" s="27">
        <f>1+SUM(G217:G223)</f>
        <v>24</v>
      </c>
      <c r="H226" s="5"/>
      <c r="I226" s="5"/>
      <c r="J226" s="29"/>
      <c r="K226" s="29"/>
      <c r="L226" s="29"/>
    </row>
    <row r="227" spans="1:12" ht="16.25" customHeight="1" x14ac:dyDescent="0.2">
      <c r="A227" s="7">
        <v>46063</v>
      </c>
      <c r="B227" s="61">
        <v>6</v>
      </c>
      <c r="C227" s="60"/>
      <c r="D227" s="76" t="s">
        <v>301</v>
      </c>
      <c r="E227" s="76"/>
      <c r="F227" s="21">
        <v>16</v>
      </c>
      <c r="G227" s="27"/>
      <c r="H227" s="5"/>
      <c r="I227" s="5"/>
      <c r="J227" s="29"/>
      <c r="K227" s="29"/>
      <c r="L227" s="29"/>
    </row>
    <row r="228" spans="1:12" ht="16.25" customHeight="1" x14ac:dyDescent="0.2">
      <c r="A228" s="7">
        <v>46064</v>
      </c>
      <c r="B228" s="61">
        <v>1</v>
      </c>
      <c r="C228" s="60"/>
      <c r="D228" s="76"/>
      <c r="E228" s="76"/>
      <c r="F228" s="21"/>
      <c r="G228" s="27"/>
      <c r="H228" s="5"/>
      <c r="I228" s="5"/>
      <c r="J228" s="29"/>
      <c r="K228" s="29"/>
      <c r="L228" s="29"/>
    </row>
    <row r="229" spans="1:12" ht="16.25" customHeight="1" x14ac:dyDescent="0.2">
      <c r="A229" s="7">
        <v>46065</v>
      </c>
      <c r="B229" s="61">
        <v>2</v>
      </c>
      <c r="C229" s="60"/>
      <c r="D229" s="76"/>
      <c r="E229" s="76"/>
      <c r="F229" s="21"/>
      <c r="G229" s="27"/>
      <c r="H229" s="5"/>
      <c r="I229" s="5"/>
      <c r="J229" s="29"/>
      <c r="K229" s="29"/>
      <c r="L229" s="29"/>
    </row>
    <row r="230" spans="1:12" ht="16.25" customHeight="1" x14ac:dyDescent="0.2">
      <c r="A230" s="7">
        <v>46066</v>
      </c>
      <c r="B230" s="61">
        <v>3</v>
      </c>
      <c r="C230" s="60"/>
      <c r="D230" s="76" t="s">
        <v>302</v>
      </c>
      <c r="E230" s="76"/>
      <c r="F230" s="21"/>
      <c r="G230" s="27"/>
      <c r="H230" s="5"/>
      <c r="I230" s="5"/>
      <c r="J230" s="29"/>
      <c r="K230" s="29"/>
      <c r="L230" s="29"/>
    </row>
    <row r="231" spans="1:12" ht="16.25" customHeight="1" x14ac:dyDescent="0.2">
      <c r="A231" s="10">
        <v>46067</v>
      </c>
      <c r="B231" s="56" t="s">
        <v>20</v>
      </c>
      <c r="C231" s="57"/>
      <c r="D231" s="74"/>
      <c r="E231" s="74"/>
      <c r="F231" s="20"/>
      <c r="G231" s="26"/>
      <c r="H231" s="8"/>
      <c r="I231" s="8"/>
      <c r="J231" s="29"/>
      <c r="K231" s="29"/>
      <c r="L231" s="29"/>
    </row>
    <row r="232" spans="1:12" ht="16.25" customHeight="1" x14ac:dyDescent="0.2">
      <c r="A232" s="10">
        <v>46068</v>
      </c>
      <c r="B232" s="56" t="s">
        <v>20</v>
      </c>
      <c r="C232" s="57"/>
      <c r="D232" s="74"/>
      <c r="E232" s="74"/>
      <c r="F232" s="20"/>
      <c r="G232" s="26"/>
      <c r="H232" s="8"/>
      <c r="I232" s="8"/>
      <c r="J232" s="29"/>
      <c r="K232" s="29"/>
      <c r="L232" s="29"/>
    </row>
    <row r="233" spans="1:12" ht="16.25" customHeight="1" x14ac:dyDescent="0.2">
      <c r="A233" s="7">
        <v>46069</v>
      </c>
      <c r="B233" s="61">
        <v>4</v>
      </c>
      <c r="C233" s="60"/>
      <c r="D233" s="76"/>
      <c r="E233" s="76"/>
      <c r="F233" s="21"/>
      <c r="G233" s="27">
        <f>1+SUM(G224:G230)</f>
        <v>25</v>
      </c>
      <c r="H233" s="5"/>
      <c r="I233" s="5"/>
      <c r="J233" s="29"/>
      <c r="K233" s="29"/>
      <c r="L233" s="29"/>
    </row>
    <row r="234" spans="1:12" ht="16.25" customHeight="1" x14ac:dyDescent="0.2">
      <c r="A234" s="7">
        <v>46070</v>
      </c>
      <c r="B234" s="61">
        <v>5</v>
      </c>
      <c r="C234" s="60"/>
      <c r="D234" s="76"/>
      <c r="E234" s="76"/>
      <c r="F234" s="21"/>
      <c r="G234" s="27"/>
      <c r="H234" s="5"/>
      <c r="I234" s="5"/>
      <c r="J234" s="29"/>
      <c r="K234" s="29"/>
      <c r="L234" s="29"/>
    </row>
    <row r="235" spans="1:12" ht="16.25" customHeight="1" x14ac:dyDescent="0.2">
      <c r="A235" s="7">
        <v>46071</v>
      </c>
      <c r="B235" s="61">
        <v>6</v>
      </c>
      <c r="C235" s="60"/>
      <c r="D235" s="76"/>
      <c r="E235" s="76"/>
      <c r="F235" s="21">
        <v>17</v>
      </c>
      <c r="G235" s="27"/>
      <c r="H235" s="5"/>
      <c r="I235" s="5"/>
      <c r="J235" s="29"/>
      <c r="K235" s="29"/>
      <c r="L235" s="29"/>
    </row>
    <row r="236" spans="1:12" ht="16.25" customHeight="1" x14ac:dyDescent="0.2">
      <c r="A236" s="7">
        <v>46072</v>
      </c>
      <c r="B236" s="61">
        <v>1</v>
      </c>
      <c r="C236" s="60"/>
      <c r="D236" s="76"/>
      <c r="E236" s="76"/>
      <c r="F236" s="21"/>
      <c r="G236" s="27"/>
      <c r="H236" s="5"/>
      <c r="I236" s="5"/>
      <c r="J236" s="29"/>
      <c r="K236" s="29"/>
      <c r="L236" s="29"/>
    </row>
    <row r="237" spans="1:12" ht="16.25" customHeight="1" x14ac:dyDescent="0.2">
      <c r="A237" s="7">
        <v>46073</v>
      </c>
      <c r="B237" s="61">
        <v>2</v>
      </c>
      <c r="C237" s="60"/>
      <c r="D237" s="76" t="s">
        <v>303</v>
      </c>
      <c r="E237" s="76"/>
      <c r="F237" s="21"/>
      <c r="G237" s="27"/>
      <c r="H237" s="5"/>
      <c r="I237" s="5"/>
      <c r="J237" s="29"/>
      <c r="K237" s="29"/>
      <c r="L237" s="29"/>
    </row>
    <row r="238" spans="1:12" ht="16.25" customHeight="1" x14ac:dyDescent="0.2">
      <c r="A238" s="10">
        <v>46074</v>
      </c>
      <c r="B238" s="56" t="s">
        <v>20</v>
      </c>
      <c r="C238" s="57"/>
      <c r="D238" s="74"/>
      <c r="E238" s="74"/>
      <c r="F238" s="20"/>
      <c r="G238" s="26"/>
      <c r="H238" s="8"/>
      <c r="I238" s="8"/>
      <c r="J238" s="29"/>
      <c r="K238" s="29"/>
      <c r="L238" s="29"/>
    </row>
    <row r="239" spans="1:12" ht="16.25" customHeight="1" x14ac:dyDescent="0.2">
      <c r="A239" s="10">
        <v>46075</v>
      </c>
      <c r="B239" s="56" t="s">
        <v>20</v>
      </c>
      <c r="C239" s="57"/>
      <c r="D239" s="74"/>
      <c r="E239" s="74"/>
      <c r="F239" s="20"/>
      <c r="G239" s="26"/>
      <c r="H239" s="8"/>
      <c r="I239" s="8"/>
      <c r="J239" s="29"/>
      <c r="K239" s="29"/>
      <c r="L239" s="29"/>
    </row>
    <row r="240" spans="1:12" ht="16.25" customHeight="1" x14ac:dyDescent="0.2">
      <c r="A240" s="7">
        <v>46076</v>
      </c>
      <c r="B240" s="61">
        <v>3</v>
      </c>
      <c r="C240" s="60"/>
      <c r="D240" s="76"/>
      <c r="E240" s="76"/>
      <c r="F240" s="21"/>
      <c r="G240" s="27">
        <f>1+SUM(G231:G237)</f>
        <v>26</v>
      </c>
      <c r="H240" s="5"/>
      <c r="I240" s="5"/>
      <c r="J240" s="29"/>
      <c r="K240" s="29" t="s">
        <v>97</v>
      </c>
      <c r="L240" s="29"/>
    </row>
    <row r="241" spans="1:12" ht="16.25" customHeight="1" x14ac:dyDescent="0.2">
      <c r="A241" s="7">
        <v>46077</v>
      </c>
      <c r="B241" s="61">
        <v>4</v>
      </c>
      <c r="C241" s="60"/>
      <c r="D241" s="83" t="s">
        <v>304</v>
      </c>
      <c r="E241" s="76"/>
      <c r="F241" s="21"/>
      <c r="G241" s="27"/>
      <c r="H241" s="5"/>
      <c r="I241" s="5"/>
      <c r="J241" s="29"/>
      <c r="K241" s="29"/>
      <c r="L241" s="29"/>
    </row>
    <row r="242" spans="1:12" ht="16.25" customHeight="1" x14ac:dyDescent="0.2">
      <c r="A242" s="7">
        <v>46078</v>
      </c>
      <c r="B242" s="61">
        <v>5</v>
      </c>
      <c r="C242" s="60"/>
      <c r="D242" s="83" t="s">
        <v>305</v>
      </c>
      <c r="E242" s="76"/>
      <c r="F242" s="21"/>
      <c r="G242" s="27"/>
      <c r="H242" s="5"/>
      <c r="I242" s="5"/>
      <c r="J242" s="29"/>
      <c r="K242" s="29"/>
      <c r="L242" s="29"/>
    </row>
    <row r="243" spans="1:12" ht="16.25" customHeight="1" x14ac:dyDescent="0.2">
      <c r="A243" s="7">
        <v>46079</v>
      </c>
      <c r="B243" s="61">
        <v>6</v>
      </c>
      <c r="C243" s="60"/>
      <c r="D243" s="83" t="s">
        <v>305</v>
      </c>
      <c r="E243" s="76"/>
      <c r="F243" s="21">
        <v>18</v>
      </c>
      <c r="G243" s="27"/>
      <c r="H243" s="5"/>
      <c r="I243" s="5"/>
      <c r="J243" s="29"/>
      <c r="K243" s="29"/>
      <c r="L243" s="29"/>
    </row>
    <row r="244" spans="1:12" ht="16.25" customHeight="1" x14ac:dyDescent="0.2">
      <c r="A244" s="7">
        <v>46080</v>
      </c>
      <c r="B244" s="61">
        <v>1</v>
      </c>
      <c r="C244" s="60"/>
      <c r="D244" s="83" t="s">
        <v>305</v>
      </c>
      <c r="E244" s="76"/>
      <c r="F244" s="21"/>
      <c r="G244" s="27"/>
      <c r="H244" s="5"/>
      <c r="I244" s="5"/>
      <c r="J244" s="29"/>
      <c r="K244" s="29"/>
      <c r="L244" s="29"/>
    </row>
    <row r="245" spans="1:12" ht="16.25" customHeight="1" x14ac:dyDescent="0.2">
      <c r="A245" s="10">
        <v>46081</v>
      </c>
      <c r="B245" s="56" t="s">
        <v>20</v>
      </c>
      <c r="C245" s="57"/>
      <c r="D245" s="74"/>
      <c r="E245" s="74"/>
      <c r="F245" s="20"/>
      <c r="G245" s="26"/>
      <c r="H245" s="8"/>
      <c r="I245" s="8"/>
      <c r="J245" s="29"/>
      <c r="K245" s="29"/>
      <c r="L245" s="29"/>
    </row>
    <row r="246" spans="1:12" ht="16.25" customHeight="1" x14ac:dyDescent="0.2">
      <c r="A246" s="10">
        <v>46082</v>
      </c>
      <c r="B246" s="56" t="s">
        <v>20</v>
      </c>
      <c r="C246" s="57"/>
      <c r="D246" s="74"/>
      <c r="E246" s="74"/>
      <c r="F246" s="20"/>
      <c r="G246" s="26"/>
      <c r="H246" s="8"/>
      <c r="I246" s="8"/>
      <c r="J246" s="29"/>
      <c r="K246" s="29"/>
      <c r="L246" s="29"/>
    </row>
    <row r="247" spans="1:12" ht="16.25" customHeight="1" x14ac:dyDescent="0.2">
      <c r="A247" s="7">
        <v>46083</v>
      </c>
      <c r="B247" s="61">
        <v>2</v>
      </c>
      <c r="C247" s="60"/>
      <c r="D247" s="76" t="s">
        <v>305</v>
      </c>
      <c r="E247" s="76"/>
      <c r="F247" s="21"/>
      <c r="G247" s="27">
        <f>1+SUM(G238:G244)</f>
        <v>27</v>
      </c>
      <c r="H247" s="5"/>
      <c r="I247" s="5"/>
      <c r="J247" s="29"/>
      <c r="K247" s="29"/>
      <c r="L247" s="29"/>
    </row>
    <row r="248" spans="1:12" ht="16.25" customHeight="1" x14ac:dyDescent="0.2">
      <c r="A248" s="7">
        <v>46084</v>
      </c>
      <c r="B248" s="61">
        <v>3</v>
      </c>
      <c r="C248" s="60"/>
      <c r="D248" s="76" t="s">
        <v>305</v>
      </c>
      <c r="E248" s="76"/>
      <c r="F248" s="21"/>
      <c r="G248" s="27"/>
      <c r="H248" s="5"/>
      <c r="I248" s="5"/>
      <c r="J248" s="29"/>
      <c r="K248" s="29"/>
      <c r="L248" s="29"/>
    </row>
    <row r="249" spans="1:12" ht="16.25" customHeight="1" x14ac:dyDescent="0.2">
      <c r="A249" s="7">
        <v>46085</v>
      </c>
      <c r="B249" s="61">
        <v>4</v>
      </c>
      <c r="C249" s="60"/>
      <c r="D249" s="76" t="s">
        <v>305</v>
      </c>
      <c r="E249" s="76"/>
      <c r="F249" s="21"/>
      <c r="G249" s="27"/>
      <c r="H249" s="5"/>
      <c r="I249" s="5"/>
      <c r="J249" s="29"/>
      <c r="K249" s="29"/>
      <c r="L249" s="29"/>
    </row>
    <row r="250" spans="1:12" ht="16.25" customHeight="1" x14ac:dyDescent="0.2">
      <c r="A250" s="7">
        <v>46086</v>
      </c>
      <c r="B250" s="61">
        <v>5</v>
      </c>
      <c r="C250" s="60"/>
      <c r="D250" s="76" t="s">
        <v>305</v>
      </c>
      <c r="E250" s="76"/>
      <c r="F250" s="21"/>
      <c r="G250" s="27"/>
      <c r="H250" s="5"/>
      <c r="I250" s="5"/>
      <c r="J250" s="29"/>
      <c r="K250" s="29"/>
      <c r="L250" s="29"/>
    </row>
    <row r="251" spans="1:12" ht="16.25" customHeight="1" x14ac:dyDescent="0.2">
      <c r="A251" s="7">
        <v>46087</v>
      </c>
      <c r="B251" s="61">
        <v>6</v>
      </c>
      <c r="C251" s="60"/>
      <c r="D251" s="76" t="s">
        <v>305</v>
      </c>
      <c r="E251" s="76"/>
      <c r="F251" s="21">
        <v>19</v>
      </c>
      <c r="G251" s="27"/>
      <c r="H251" s="5"/>
      <c r="I251" s="5"/>
      <c r="J251" s="29"/>
      <c r="K251" s="29"/>
      <c r="L251" s="29"/>
    </row>
    <row r="252" spans="1:12" ht="16.25" customHeight="1" x14ac:dyDescent="0.2">
      <c r="A252" s="10">
        <v>46088</v>
      </c>
      <c r="B252" s="56" t="s">
        <v>20</v>
      </c>
      <c r="C252" s="57"/>
      <c r="D252" s="74"/>
      <c r="E252" s="74"/>
      <c r="F252" s="20"/>
      <c r="G252" s="26"/>
      <c r="H252" s="8"/>
      <c r="I252" s="8"/>
      <c r="J252" s="29"/>
      <c r="K252" s="29"/>
      <c r="L252" s="29"/>
    </row>
    <row r="253" spans="1:12" ht="16.25" customHeight="1" x14ac:dyDescent="0.2">
      <c r="A253" s="10">
        <v>46089</v>
      </c>
      <c r="B253" s="56" t="s">
        <v>20</v>
      </c>
      <c r="C253" s="57"/>
      <c r="D253" s="74"/>
      <c r="E253" s="74"/>
      <c r="F253" s="20"/>
      <c r="G253" s="26"/>
      <c r="H253" s="8"/>
      <c r="I253" s="8"/>
      <c r="J253" s="29"/>
      <c r="K253" s="29"/>
      <c r="L253" s="29"/>
    </row>
    <row r="254" spans="1:12" ht="16.25" customHeight="1" x14ac:dyDescent="0.2">
      <c r="A254" s="7">
        <v>46090</v>
      </c>
      <c r="B254" s="61">
        <v>1</v>
      </c>
      <c r="C254" s="60"/>
      <c r="D254" s="76"/>
      <c r="E254" s="76"/>
      <c r="F254" s="21"/>
      <c r="G254" s="27">
        <f>1+SUM(G245:G251)</f>
        <v>28</v>
      </c>
      <c r="H254" s="5"/>
      <c r="I254" s="5"/>
      <c r="J254" s="29" t="s">
        <v>65</v>
      </c>
      <c r="K254" s="29"/>
      <c r="L254" s="29"/>
    </row>
    <row r="255" spans="1:12" ht="16.25" customHeight="1" x14ac:dyDescent="0.2">
      <c r="A255" s="7">
        <v>46091</v>
      </c>
      <c r="B255" s="61">
        <v>2</v>
      </c>
      <c r="C255" s="60"/>
      <c r="D255" s="76"/>
      <c r="E255" s="76"/>
      <c r="F255" s="21"/>
      <c r="G255" s="27"/>
      <c r="H255" s="5"/>
      <c r="I255" s="5"/>
      <c r="J255" s="29"/>
      <c r="K255" s="29"/>
      <c r="L255" s="29"/>
    </row>
    <row r="256" spans="1:12" ht="16.25" customHeight="1" x14ac:dyDescent="0.2">
      <c r="A256" s="7">
        <v>46092</v>
      </c>
      <c r="B256" s="61">
        <v>3</v>
      </c>
      <c r="C256" s="60"/>
      <c r="D256" s="76" t="s">
        <v>306</v>
      </c>
      <c r="E256" s="76"/>
      <c r="F256" s="21"/>
      <c r="G256" s="27"/>
      <c r="H256" s="5"/>
      <c r="I256" s="5"/>
      <c r="J256" s="29"/>
      <c r="K256" s="29"/>
      <c r="L256" s="29"/>
    </row>
    <row r="257" spans="1:12" ht="16.25" customHeight="1" x14ac:dyDescent="0.2">
      <c r="A257" s="7">
        <v>46093</v>
      </c>
      <c r="B257" s="61">
        <v>4</v>
      </c>
      <c r="C257" s="60"/>
      <c r="D257" s="76"/>
      <c r="E257" s="76"/>
      <c r="F257" s="21"/>
      <c r="G257" s="27"/>
      <c r="H257" s="5"/>
      <c r="I257" s="5"/>
      <c r="J257" s="29"/>
      <c r="K257" s="29"/>
      <c r="L257" s="29"/>
    </row>
    <row r="258" spans="1:12" ht="16.25" customHeight="1" x14ac:dyDescent="0.2">
      <c r="A258" s="7">
        <v>46094</v>
      </c>
      <c r="B258" s="61">
        <v>5</v>
      </c>
      <c r="C258" s="60"/>
      <c r="D258" s="76"/>
      <c r="E258" s="76"/>
      <c r="F258" s="21"/>
      <c r="G258" s="27"/>
      <c r="H258" s="5"/>
      <c r="I258" s="5"/>
      <c r="J258" s="29"/>
      <c r="K258" s="29"/>
      <c r="L258" s="29"/>
    </row>
    <row r="259" spans="1:12" ht="16.25" customHeight="1" x14ac:dyDescent="0.2">
      <c r="A259" s="10">
        <v>46095</v>
      </c>
      <c r="B259" s="56" t="s">
        <v>20</v>
      </c>
      <c r="C259" s="57"/>
      <c r="D259" s="74"/>
      <c r="E259" s="74"/>
      <c r="F259" s="20"/>
      <c r="G259" s="26"/>
      <c r="H259" s="8"/>
      <c r="I259" s="8"/>
      <c r="J259" s="29"/>
      <c r="K259" s="29"/>
      <c r="L259" s="29"/>
    </row>
    <row r="260" spans="1:12" ht="16.25" customHeight="1" x14ac:dyDescent="0.2">
      <c r="A260" s="10">
        <v>46096</v>
      </c>
      <c r="B260" s="56" t="s">
        <v>20</v>
      </c>
      <c r="C260" s="57"/>
      <c r="D260" s="74"/>
      <c r="E260" s="74"/>
      <c r="F260" s="20"/>
      <c r="G260" s="26"/>
      <c r="H260" s="8"/>
      <c r="I260" s="8"/>
      <c r="J260" s="29"/>
      <c r="K260" s="29"/>
      <c r="L260" s="29"/>
    </row>
    <row r="261" spans="1:12" ht="16.25" customHeight="1" x14ac:dyDescent="0.2">
      <c r="A261" s="7">
        <v>46097</v>
      </c>
      <c r="B261" s="61">
        <v>6</v>
      </c>
      <c r="C261" s="60"/>
      <c r="D261" s="76"/>
      <c r="E261" s="76"/>
      <c r="F261" s="21">
        <v>20</v>
      </c>
      <c r="G261" s="27">
        <f>1+SUM(G252:G258)</f>
        <v>29</v>
      </c>
      <c r="H261" s="5"/>
      <c r="I261" s="5"/>
      <c r="J261" s="29"/>
      <c r="K261" s="29"/>
      <c r="L261" s="29"/>
    </row>
    <row r="262" spans="1:12" ht="16.25" customHeight="1" x14ac:dyDescent="0.2">
      <c r="A262" s="7">
        <v>46098</v>
      </c>
      <c r="B262" s="61">
        <v>1</v>
      </c>
      <c r="C262" s="60"/>
      <c r="D262" s="76"/>
      <c r="E262" s="76"/>
      <c r="F262" s="21"/>
      <c r="G262" s="27"/>
      <c r="H262" s="5"/>
      <c r="I262" s="5"/>
      <c r="J262" s="29"/>
      <c r="K262" s="29"/>
      <c r="L262" s="29"/>
    </row>
    <row r="263" spans="1:12" ht="16.25" customHeight="1" x14ac:dyDescent="0.2">
      <c r="A263" s="7">
        <v>46099</v>
      </c>
      <c r="B263" s="61">
        <v>2</v>
      </c>
      <c r="C263" s="60"/>
      <c r="D263" s="76"/>
      <c r="E263" s="76"/>
      <c r="F263" s="21"/>
      <c r="G263" s="27"/>
      <c r="H263" s="5"/>
      <c r="I263" s="5"/>
      <c r="J263" s="29"/>
      <c r="K263" s="29"/>
      <c r="L263" s="29"/>
    </row>
    <row r="264" spans="1:12" ht="16.25" customHeight="1" x14ac:dyDescent="0.2">
      <c r="A264" s="7">
        <v>46100</v>
      </c>
      <c r="B264" s="61">
        <v>3</v>
      </c>
      <c r="C264" s="60"/>
      <c r="D264" s="76" t="s">
        <v>307</v>
      </c>
      <c r="E264" s="76"/>
      <c r="F264" s="21"/>
      <c r="G264" s="27"/>
      <c r="H264" s="5"/>
      <c r="I264" s="5"/>
      <c r="J264" s="29"/>
      <c r="K264" s="29"/>
      <c r="L264" s="29"/>
    </row>
    <row r="265" spans="1:12" ht="16.25" customHeight="1" x14ac:dyDescent="0.2">
      <c r="A265" s="7">
        <v>46101</v>
      </c>
      <c r="B265" s="61">
        <v>4</v>
      </c>
      <c r="C265" s="60"/>
      <c r="D265" s="76"/>
      <c r="E265" s="76"/>
      <c r="F265" s="21"/>
      <c r="G265" s="27"/>
      <c r="H265" s="5"/>
      <c r="I265" s="5"/>
      <c r="J265" s="29"/>
      <c r="K265" s="29"/>
      <c r="L265" s="29"/>
    </row>
    <row r="266" spans="1:12" ht="16.25" customHeight="1" x14ac:dyDescent="0.2">
      <c r="A266" s="10">
        <v>46102</v>
      </c>
      <c r="B266" s="56" t="s">
        <v>20</v>
      </c>
      <c r="C266" s="57"/>
      <c r="D266" s="74"/>
      <c r="E266" s="74"/>
      <c r="F266" s="20"/>
      <c r="G266" s="26"/>
      <c r="H266" s="8"/>
      <c r="I266" s="8"/>
      <c r="J266" s="29"/>
      <c r="K266" s="29" t="s">
        <v>81</v>
      </c>
      <c r="L266" s="29"/>
    </row>
    <row r="267" spans="1:12" ht="16.25" customHeight="1" x14ac:dyDescent="0.2">
      <c r="A267" s="10">
        <v>46103</v>
      </c>
      <c r="B267" s="56" t="s">
        <v>20</v>
      </c>
      <c r="C267" s="57"/>
      <c r="D267" s="74"/>
      <c r="E267" s="74"/>
      <c r="F267" s="20"/>
      <c r="G267" s="26"/>
      <c r="H267" s="8"/>
      <c r="I267" s="8"/>
      <c r="J267" s="29"/>
      <c r="K267" s="29" t="s">
        <v>81</v>
      </c>
      <c r="L267" s="29"/>
    </row>
    <row r="268" spans="1:12" ht="16.25" customHeight="1" x14ac:dyDescent="0.2">
      <c r="A268" s="10">
        <v>46104</v>
      </c>
      <c r="B268" s="56" t="s">
        <v>17</v>
      </c>
      <c r="C268" s="57"/>
      <c r="D268" s="74"/>
      <c r="E268" s="74"/>
      <c r="F268" s="20"/>
      <c r="G268" s="26"/>
      <c r="H268" s="8"/>
      <c r="I268" s="8"/>
      <c r="J268" s="29"/>
      <c r="K268" s="29" t="s">
        <v>81</v>
      </c>
      <c r="L268" s="29"/>
    </row>
    <row r="269" spans="1:12" ht="16.25" customHeight="1" x14ac:dyDescent="0.2">
      <c r="A269" s="7">
        <v>46105</v>
      </c>
      <c r="B269" s="61">
        <v>5</v>
      </c>
      <c r="C269" s="60"/>
      <c r="D269" s="76"/>
      <c r="E269" s="76"/>
      <c r="F269" s="21"/>
      <c r="G269" s="27">
        <f>1+SUM(G260:G266)</f>
        <v>30</v>
      </c>
      <c r="H269" s="5"/>
      <c r="I269" s="5"/>
      <c r="J269" s="29"/>
      <c r="K269" s="29" t="s">
        <v>81</v>
      </c>
      <c r="L269" s="29"/>
    </row>
    <row r="270" spans="1:12" ht="16.25" customHeight="1" x14ac:dyDescent="0.2">
      <c r="A270" s="7">
        <v>46106</v>
      </c>
      <c r="B270" s="61">
        <v>6</v>
      </c>
      <c r="C270" s="60"/>
      <c r="D270" s="76"/>
      <c r="E270" s="76"/>
      <c r="F270" s="21">
        <v>21</v>
      </c>
      <c r="G270" s="27"/>
      <c r="H270" s="5"/>
      <c r="I270" s="5"/>
      <c r="J270" s="29"/>
      <c r="K270" s="29" t="s">
        <v>81</v>
      </c>
      <c r="L270" s="29"/>
    </row>
    <row r="271" spans="1:12" ht="16.25" customHeight="1" x14ac:dyDescent="0.2">
      <c r="A271" s="37">
        <v>46107</v>
      </c>
      <c r="B271" s="62">
        <v>1</v>
      </c>
      <c r="C271" s="63" t="s">
        <v>102</v>
      </c>
      <c r="D271" s="78"/>
      <c r="E271" s="78"/>
      <c r="F271" s="40"/>
      <c r="G271" s="41"/>
      <c r="H271" s="42"/>
      <c r="I271" s="42"/>
      <c r="J271" s="43"/>
      <c r="K271" s="43" t="s">
        <v>81</v>
      </c>
      <c r="L271" s="43"/>
    </row>
    <row r="272" spans="1:12" ht="16.25" customHeight="1" x14ac:dyDescent="0.2">
      <c r="A272" s="10">
        <v>46108</v>
      </c>
      <c r="B272" s="56" t="s">
        <v>104</v>
      </c>
      <c r="C272" s="57"/>
      <c r="D272" s="74"/>
      <c r="E272" s="74"/>
      <c r="F272" s="20"/>
      <c r="G272" s="26"/>
      <c r="H272" s="8"/>
      <c r="I272" s="8"/>
      <c r="J272" s="29"/>
      <c r="K272" s="29" t="s">
        <v>81</v>
      </c>
      <c r="L272" s="29"/>
    </row>
    <row r="273" spans="1:12" ht="16.25" customHeight="1" x14ac:dyDescent="0.2">
      <c r="A273" s="10">
        <v>46109</v>
      </c>
      <c r="B273" s="56" t="s">
        <v>20</v>
      </c>
      <c r="C273" s="57"/>
      <c r="D273" s="74"/>
      <c r="E273" s="74"/>
      <c r="F273" s="20"/>
      <c r="G273" s="26"/>
      <c r="H273" s="8"/>
      <c r="I273" s="8"/>
      <c r="J273" s="29" t="s">
        <v>81</v>
      </c>
      <c r="K273" s="29" t="s">
        <v>81</v>
      </c>
      <c r="L273" s="29" t="s">
        <v>81</v>
      </c>
    </row>
    <row r="274" spans="1:12" ht="16.25" customHeight="1" x14ac:dyDescent="0.2">
      <c r="A274" s="10">
        <v>46110</v>
      </c>
      <c r="B274" s="56" t="s">
        <v>20</v>
      </c>
      <c r="C274" s="57"/>
      <c r="D274" s="74"/>
      <c r="E274" s="74"/>
      <c r="F274" s="20"/>
      <c r="G274" s="26"/>
      <c r="H274" s="8"/>
      <c r="I274" s="8"/>
      <c r="J274" s="29" t="s">
        <v>81</v>
      </c>
      <c r="K274" s="29" t="s">
        <v>81</v>
      </c>
      <c r="L274" s="29" t="s">
        <v>81</v>
      </c>
    </row>
    <row r="275" spans="1:12" ht="16.25" customHeight="1" x14ac:dyDescent="0.2">
      <c r="A275" s="10">
        <v>46111</v>
      </c>
      <c r="B275" s="56" t="s">
        <v>104</v>
      </c>
      <c r="C275" s="57"/>
      <c r="D275" s="74"/>
      <c r="E275" s="74"/>
      <c r="F275" s="20"/>
      <c r="G275" s="26"/>
      <c r="H275" s="8"/>
      <c r="I275" s="8"/>
      <c r="J275" s="29" t="s">
        <v>81</v>
      </c>
      <c r="K275" s="29" t="s">
        <v>81</v>
      </c>
      <c r="L275" s="29" t="s">
        <v>81</v>
      </c>
    </row>
    <row r="276" spans="1:12" ht="16.25" customHeight="1" x14ac:dyDescent="0.2">
      <c r="A276" s="10">
        <v>46112</v>
      </c>
      <c r="B276" s="56" t="s">
        <v>104</v>
      </c>
      <c r="C276" s="57"/>
      <c r="D276" s="74"/>
      <c r="E276" s="74"/>
      <c r="F276" s="20"/>
      <c r="G276" s="26"/>
      <c r="H276" s="8"/>
      <c r="I276" s="8"/>
      <c r="J276" s="29" t="s">
        <v>81</v>
      </c>
      <c r="K276" s="29" t="s">
        <v>81</v>
      </c>
      <c r="L276" s="29" t="s">
        <v>81</v>
      </c>
    </row>
    <row r="277" spans="1:12" ht="16.25" customHeight="1" x14ac:dyDescent="0.2">
      <c r="A277" s="10">
        <v>46113</v>
      </c>
      <c r="B277" s="56" t="s">
        <v>104</v>
      </c>
      <c r="C277" s="57"/>
      <c r="D277" s="74"/>
      <c r="E277" s="74"/>
      <c r="F277" s="20"/>
      <c r="G277" s="26"/>
      <c r="H277" s="8"/>
      <c r="I277" s="8"/>
      <c r="J277" s="29" t="s">
        <v>81</v>
      </c>
      <c r="K277" s="29" t="s">
        <v>81</v>
      </c>
      <c r="L277" s="29" t="s">
        <v>81</v>
      </c>
    </row>
    <row r="278" spans="1:12" ht="16.25" customHeight="1" x14ac:dyDescent="0.2">
      <c r="A278" s="10">
        <v>46114</v>
      </c>
      <c r="B278" s="56" t="s">
        <v>17</v>
      </c>
      <c r="C278" s="57"/>
      <c r="D278" s="74"/>
      <c r="E278" s="74"/>
      <c r="F278" s="20"/>
      <c r="G278" s="26"/>
      <c r="H278" s="8"/>
      <c r="I278" s="8"/>
      <c r="J278" s="29" t="s">
        <v>81</v>
      </c>
      <c r="K278" s="29" t="s">
        <v>81</v>
      </c>
      <c r="L278" s="29" t="s">
        <v>81</v>
      </c>
    </row>
    <row r="279" spans="1:12" ht="16.25" customHeight="1" x14ac:dyDescent="0.2">
      <c r="A279" s="10">
        <v>46115</v>
      </c>
      <c r="B279" s="56" t="s">
        <v>17</v>
      </c>
      <c r="C279" s="57"/>
      <c r="D279" s="74"/>
      <c r="E279" s="74"/>
      <c r="F279" s="20"/>
      <c r="G279" s="26"/>
      <c r="H279" s="8"/>
      <c r="I279" s="8"/>
      <c r="J279" s="29" t="s">
        <v>81</v>
      </c>
      <c r="K279" s="29" t="s">
        <v>81</v>
      </c>
      <c r="L279" s="29" t="s">
        <v>81</v>
      </c>
    </row>
    <row r="280" spans="1:12" ht="16.25" customHeight="1" x14ac:dyDescent="0.2">
      <c r="A280" s="10">
        <v>46116</v>
      </c>
      <c r="B280" s="56" t="s">
        <v>20</v>
      </c>
      <c r="C280" s="57"/>
      <c r="D280" s="74"/>
      <c r="E280" s="74"/>
      <c r="F280" s="20"/>
      <c r="G280" s="26"/>
      <c r="H280" s="8"/>
      <c r="I280" s="8"/>
      <c r="J280" s="29" t="s">
        <v>81</v>
      </c>
      <c r="K280" s="29" t="s">
        <v>81</v>
      </c>
      <c r="L280" s="29" t="s">
        <v>81</v>
      </c>
    </row>
    <row r="281" spans="1:12" ht="16.25" customHeight="1" x14ac:dyDescent="0.2">
      <c r="A281" s="10">
        <v>46117</v>
      </c>
      <c r="B281" s="56" t="s">
        <v>20</v>
      </c>
      <c r="C281" s="57"/>
      <c r="D281" s="74"/>
      <c r="E281" s="74"/>
      <c r="F281" s="20"/>
      <c r="G281" s="26"/>
      <c r="H281" s="8"/>
      <c r="I281" s="8"/>
      <c r="J281" s="29" t="s">
        <v>81</v>
      </c>
      <c r="K281" s="29" t="s">
        <v>81</v>
      </c>
      <c r="L281" s="29" t="s">
        <v>81</v>
      </c>
    </row>
    <row r="282" spans="1:12" ht="16.25" customHeight="1" x14ac:dyDescent="0.2">
      <c r="A282" s="10">
        <v>46118</v>
      </c>
      <c r="B282" s="56" t="s">
        <v>104</v>
      </c>
      <c r="C282" s="57"/>
      <c r="D282" s="74"/>
      <c r="E282" s="74"/>
      <c r="F282" s="20"/>
      <c r="G282" s="26"/>
      <c r="H282" s="8"/>
      <c r="I282" s="8"/>
      <c r="J282" s="29" t="s">
        <v>81</v>
      </c>
      <c r="K282" s="29" t="s">
        <v>87</v>
      </c>
      <c r="L282" s="29" t="s">
        <v>81</v>
      </c>
    </row>
    <row r="283" spans="1:12" ht="16.25" customHeight="1" x14ac:dyDescent="0.2">
      <c r="A283" s="17">
        <v>46119</v>
      </c>
      <c r="B283" s="64" t="s">
        <v>105</v>
      </c>
      <c r="C283" s="65"/>
      <c r="D283" s="79"/>
      <c r="E283" s="79"/>
      <c r="F283" s="22"/>
      <c r="G283" s="28"/>
      <c r="H283" s="19"/>
      <c r="I283" s="19"/>
      <c r="J283" s="32" t="s">
        <v>81</v>
      </c>
      <c r="K283" s="32"/>
      <c r="L283" s="32"/>
    </row>
    <row r="284" spans="1:12" ht="16.25" customHeight="1" x14ac:dyDescent="0.2">
      <c r="A284" s="7">
        <v>46120</v>
      </c>
      <c r="B284" s="61">
        <v>2</v>
      </c>
      <c r="C284" s="60"/>
      <c r="D284" s="76"/>
      <c r="E284" s="76"/>
      <c r="F284" s="21"/>
      <c r="G284" s="27">
        <f>1+SUM(G268:G274)</f>
        <v>31</v>
      </c>
      <c r="H284" s="5"/>
      <c r="I284" s="5"/>
      <c r="J284" s="29" t="s">
        <v>81</v>
      </c>
      <c r="K284" s="29"/>
      <c r="L284" s="29"/>
    </row>
    <row r="285" spans="1:12" ht="16.25" customHeight="1" x14ac:dyDescent="0.2">
      <c r="A285" s="7">
        <v>46121</v>
      </c>
      <c r="B285" s="61">
        <v>3</v>
      </c>
      <c r="C285" s="60"/>
      <c r="D285" s="76"/>
      <c r="E285" s="76"/>
      <c r="F285" s="21"/>
      <c r="G285" s="27"/>
      <c r="H285" s="5"/>
      <c r="I285" s="5"/>
      <c r="J285" s="29" t="s">
        <v>81</v>
      </c>
      <c r="K285" s="29"/>
      <c r="L285" s="29"/>
    </row>
    <row r="286" spans="1:12" ht="16.25" customHeight="1" x14ac:dyDescent="0.2">
      <c r="A286" s="7">
        <v>46122</v>
      </c>
      <c r="B286" s="61">
        <v>4</v>
      </c>
      <c r="C286" s="60"/>
      <c r="D286" s="76"/>
      <c r="E286" s="76"/>
      <c r="F286" s="21"/>
      <c r="G286" s="27"/>
      <c r="H286" s="5"/>
      <c r="I286" s="5"/>
      <c r="J286" s="29" t="s">
        <v>81</v>
      </c>
      <c r="K286" s="29"/>
      <c r="L286" s="29"/>
    </row>
    <row r="287" spans="1:12" ht="16.25" customHeight="1" x14ac:dyDescent="0.2">
      <c r="A287" s="10">
        <v>46123</v>
      </c>
      <c r="B287" s="56" t="s">
        <v>20</v>
      </c>
      <c r="C287" s="57"/>
      <c r="D287" s="74"/>
      <c r="E287" s="74"/>
      <c r="F287" s="20"/>
      <c r="G287" s="26"/>
      <c r="H287" s="8"/>
      <c r="I287" s="8"/>
      <c r="J287" s="29" t="s">
        <v>81</v>
      </c>
      <c r="K287" s="29"/>
      <c r="L287" s="29"/>
    </row>
    <row r="288" spans="1:12" ht="16.25" customHeight="1" x14ac:dyDescent="0.2">
      <c r="A288" s="10">
        <v>46124</v>
      </c>
      <c r="B288" s="56" t="s">
        <v>20</v>
      </c>
      <c r="C288" s="57"/>
      <c r="D288" s="74"/>
      <c r="E288" s="74"/>
      <c r="F288" s="20"/>
      <c r="G288" s="26"/>
      <c r="H288" s="8"/>
      <c r="I288" s="8"/>
      <c r="J288" s="29" t="s">
        <v>81</v>
      </c>
      <c r="K288" s="29"/>
      <c r="L288" s="29"/>
    </row>
    <row r="289" spans="1:12" ht="16.25" customHeight="1" x14ac:dyDescent="0.2">
      <c r="A289" s="7">
        <v>46125</v>
      </c>
      <c r="B289" s="61">
        <v>5</v>
      </c>
      <c r="C289" s="60"/>
      <c r="D289" s="76"/>
      <c r="E289" s="76"/>
      <c r="F289" s="21"/>
      <c r="G289" s="27">
        <f>1+SUM(G280:G286)</f>
        <v>32</v>
      </c>
      <c r="H289" s="5"/>
      <c r="I289" s="5"/>
      <c r="J289" s="29" t="s">
        <v>65</v>
      </c>
      <c r="K289" s="29"/>
      <c r="L289" s="29"/>
    </row>
    <row r="290" spans="1:12" ht="16.25" customHeight="1" x14ac:dyDescent="0.2">
      <c r="A290" s="7">
        <v>46126</v>
      </c>
      <c r="B290" s="61">
        <v>6</v>
      </c>
      <c r="C290" s="60"/>
      <c r="D290" s="76"/>
      <c r="E290" s="76"/>
      <c r="F290" s="21">
        <v>22</v>
      </c>
      <c r="G290" s="27"/>
      <c r="H290" s="5"/>
      <c r="I290" s="5"/>
      <c r="J290" s="29" t="s">
        <v>88</v>
      </c>
      <c r="K290" s="29"/>
      <c r="L290" s="29"/>
    </row>
    <row r="291" spans="1:12" ht="16.25" customHeight="1" x14ac:dyDescent="0.2">
      <c r="A291" s="7">
        <v>46127</v>
      </c>
      <c r="B291" s="61">
        <v>1</v>
      </c>
      <c r="C291" s="60"/>
      <c r="D291" s="76"/>
      <c r="E291" s="76"/>
      <c r="F291" s="21"/>
      <c r="G291" s="27"/>
      <c r="H291" s="5"/>
      <c r="I291" s="5"/>
      <c r="J291" s="29"/>
      <c r="K291" s="29"/>
      <c r="L291" s="29"/>
    </row>
    <row r="292" spans="1:12" ht="16.25" customHeight="1" x14ac:dyDescent="0.2">
      <c r="A292" s="7">
        <v>46128</v>
      </c>
      <c r="B292" s="61">
        <v>2</v>
      </c>
      <c r="C292" s="60"/>
      <c r="D292" s="76"/>
      <c r="E292" s="76"/>
      <c r="F292" s="21"/>
      <c r="G292" s="27"/>
      <c r="H292" s="5"/>
      <c r="I292" s="5"/>
      <c r="J292" s="29"/>
      <c r="K292" s="29"/>
      <c r="L292" s="29"/>
    </row>
    <row r="293" spans="1:12" ht="16.25" customHeight="1" x14ac:dyDescent="0.2">
      <c r="A293" s="46">
        <v>46129</v>
      </c>
      <c r="B293" s="66" t="s">
        <v>51</v>
      </c>
      <c r="C293" s="67" t="s">
        <v>106</v>
      </c>
      <c r="D293" s="80"/>
      <c r="E293" s="80"/>
      <c r="F293" s="48"/>
      <c r="G293" s="49"/>
      <c r="H293" s="50"/>
      <c r="I293" s="50"/>
      <c r="J293" s="51"/>
      <c r="K293" s="51"/>
      <c r="L293" s="51"/>
    </row>
    <row r="294" spans="1:12" ht="16.25" customHeight="1" x14ac:dyDescent="0.2">
      <c r="A294" s="10">
        <v>46130</v>
      </c>
      <c r="B294" s="56" t="s">
        <v>20</v>
      </c>
      <c r="C294" s="57"/>
      <c r="D294" s="74"/>
      <c r="E294" s="74"/>
      <c r="F294" s="20"/>
      <c r="G294" s="26"/>
      <c r="H294" s="8"/>
      <c r="I294" s="8"/>
      <c r="J294" s="29"/>
      <c r="K294" s="29"/>
      <c r="L294" s="29"/>
    </row>
    <row r="295" spans="1:12" ht="16.25" customHeight="1" x14ac:dyDescent="0.2">
      <c r="A295" s="10">
        <v>46131</v>
      </c>
      <c r="B295" s="56" t="s">
        <v>20</v>
      </c>
      <c r="C295" s="57"/>
      <c r="D295" s="74"/>
      <c r="E295" s="74"/>
      <c r="F295" s="20"/>
      <c r="G295" s="26"/>
      <c r="H295" s="8"/>
      <c r="I295" s="8"/>
      <c r="J295" s="29"/>
      <c r="K295" s="29"/>
      <c r="L295" s="29"/>
    </row>
    <row r="296" spans="1:12" ht="16.25" customHeight="1" x14ac:dyDescent="0.2">
      <c r="A296" s="7">
        <v>46132</v>
      </c>
      <c r="B296" s="61">
        <v>3</v>
      </c>
      <c r="C296" s="60"/>
      <c r="D296" s="76"/>
      <c r="E296" s="76"/>
      <c r="F296" s="21"/>
      <c r="G296" s="27">
        <f>1+SUM(G287:G293)</f>
        <v>33</v>
      </c>
      <c r="H296" s="5"/>
      <c r="I296" s="5"/>
      <c r="J296" s="29"/>
      <c r="K296" s="29"/>
      <c r="L296" s="29"/>
    </row>
    <row r="297" spans="1:12" ht="16.25" customHeight="1" x14ac:dyDescent="0.2">
      <c r="A297" s="7">
        <v>46133</v>
      </c>
      <c r="B297" s="61">
        <v>4</v>
      </c>
      <c r="C297" s="60"/>
      <c r="D297" s="76"/>
      <c r="E297" s="76"/>
      <c r="F297" s="21"/>
      <c r="G297" s="27"/>
      <c r="H297" s="5"/>
      <c r="I297" s="5"/>
      <c r="J297" s="29"/>
      <c r="K297" s="29"/>
      <c r="L297" s="29"/>
    </row>
    <row r="298" spans="1:12" ht="16.25" customHeight="1" x14ac:dyDescent="0.2">
      <c r="A298" s="7">
        <v>46134</v>
      </c>
      <c r="B298" s="61">
        <v>5</v>
      </c>
      <c r="C298" s="60"/>
      <c r="D298" s="76"/>
      <c r="E298" s="76"/>
      <c r="F298" s="21"/>
      <c r="G298" s="27"/>
      <c r="H298" s="5"/>
      <c r="I298" s="5"/>
      <c r="J298" s="29"/>
      <c r="K298" s="29"/>
      <c r="L298" s="29"/>
    </row>
    <row r="299" spans="1:12" ht="16.25" customHeight="1" x14ac:dyDescent="0.2">
      <c r="A299" s="7">
        <v>46135</v>
      </c>
      <c r="B299" s="61">
        <v>6</v>
      </c>
      <c r="C299" s="60"/>
      <c r="D299" s="76" t="s">
        <v>308</v>
      </c>
      <c r="E299" s="76"/>
      <c r="F299" s="21">
        <v>23</v>
      </c>
      <c r="G299" s="27"/>
      <c r="H299" s="5"/>
      <c r="I299" s="5"/>
      <c r="J299" s="29"/>
      <c r="K299" s="29"/>
      <c r="L299" s="29"/>
    </row>
    <row r="300" spans="1:12" ht="16.25" customHeight="1" x14ac:dyDescent="0.2">
      <c r="A300" s="7">
        <v>46136</v>
      </c>
      <c r="B300" s="61">
        <v>1</v>
      </c>
      <c r="C300" s="60"/>
      <c r="D300" s="76"/>
      <c r="E300" s="76"/>
      <c r="F300" s="21"/>
      <c r="G300" s="27"/>
      <c r="H300" s="5"/>
      <c r="I300" s="5"/>
      <c r="J300" s="29"/>
      <c r="K300" s="29"/>
      <c r="L300" s="29"/>
    </row>
    <row r="301" spans="1:12" ht="16.25" customHeight="1" x14ac:dyDescent="0.2">
      <c r="A301" s="10">
        <v>46137</v>
      </c>
      <c r="B301" s="56" t="s">
        <v>20</v>
      </c>
      <c r="C301" s="57"/>
      <c r="D301" s="74"/>
      <c r="E301" s="74"/>
      <c r="F301" s="20"/>
      <c r="G301" s="26"/>
      <c r="H301" s="8"/>
      <c r="I301" s="8"/>
      <c r="J301" s="29"/>
      <c r="K301" s="29"/>
      <c r="L301" s="29"/>
    </row>
    <row r="302" spans="1:12" ht="16.25" customHeight="1" x14ac:dyDescent="0.2">
      <c r="A302" s="10">
        <v>46138</v>
      </c>
      <c r="B302" s="56" t="s">
        <v>20</v>
      </c>
      <c r="C302" s="57"/>
      <c r="D302" s="74"/>
      <c r="E302" s="74"/>
      <c r="F302" s="20"/>
      <c r="G302" s="26"/>
      <c r="H302" s="8"/>
      <c r="I302" s="8"/>
      <c r="J302" s="29"/>
      <c r="K302" s="29"/>
      <c r="L302" s="29"/>
    </row>
    <row r="303" spans="1:12" ht="16.25" customHeight="1" x14ac:dyDescent="0.2">
      <c r="A303" s="7">
        <v>46139</v>
      </c>
      <c r="B303" s="61">
        <v>2</v>
      </c>
      <c r="C303" s="60"/>
      <c r="D303" s="76"/>
      <c r="E303" s="76"/>
      <c r="F303" s="21"/>
      <c r="G303" s="27">
        <f>1+SUM(G294:G300)</f>
        <v>34</v>
      </c>
      <c r="H303" s="5"/>
      <c r="I303" s="5"/>
      <c r="J303" s="29"/>
      <c r="K303" s="29"/>
      <c r="L303" s="29"/>
    </row>
    <row r="304" spans="1:12" ht="16.25" customHeight="1" x14ac:dyDescent="0.2">
      <c r="A304" s="7">
        <v>46140</v>
      </c>
      <c r="B304" s="61">
        <v>3</v>
      </c>
      <c r="C304" s="60"/>
      <c r="D304" s="76"/>
      <c r="E304" s="76" t="s">
        <v>309</v>
      </c>
      <c r="F304" s="21"/>
      <c r="G304" s="27"/>
      <c r="H304" s="5"/>
      <c r="I304" s="5"/>
      <c r="J304" s="29"/>
      <c r="K304" s="29"/>
      <c r="L304" s="29"/>
    </row>
    <row r="305" spans="1:12" ht="16.25" customHeight="1" x14ac:dyDescent="0.2">
      <c r="A305" s="7">
        <v>46141</v>
      </c>
      <c r="B305" s="61">
        <v>4</v>
      </c>
      <c r="C305" s="60"/>
      <c r="D305" s="76"/>
      <c r="E305" s="76" t="s">
        <v>309</v>
      </c>
      <c r="F305" s="21"/>
      <c r="G305" s="27"/>
      <c r="H305" s="5"/>
      <c r="I305" s="5"/>
      <c r="J305" s="29"/>
      <c r="K305" s="29"/>
      <c r="L305" s="29"/>
    </row>
    <row r="306" spans="1:12" ht="16.25" customHeight="1" x14ac:dyDescent="0.2">
      <c r="A306" s="7">
        <v>46142</v>
      </c>
      <c r="B306" s="61">
        <v>5</v>
      </c>
      <c r="C306" s="60"/>
      <c r="D306" s="76"/>
      <c r="E306" s="76" t="s">
        <v>309</v>
      </c>
      <c r="F306" s="21"/>
      <c r="G306" s="27"/>
      <c r="H306" s="5"/>
      <c r="I306" s="5"/>
      <c r="J306" s="29"/>
      <c r="K306" s="29"/>
      <c r="L306" s="29"/>
    </row>
    <row r="307" spans="1:12" ht="16.25" customHeight="1" x14ac:dyDescent="0.2">
      <c r="A307" s="10">
        <v>46143</v>
      </c>
      <c r="B307" s="56" t="s">
        <v>17</v>
      </c>
      <c r="C307" s="57"/>
      <c r="D307" s="74"/>
      <c r="E307" s="74"/>
      <c r="F307" s="20"/>
      <c r="G307" s="26"/>
      <c r="H307" s="8"/>
      <c r="I307" s="8"/>
      <c r="J307" s="29"/>
      <c r="K307" s="29"/>
      <c r="L307" s="29"/>
    </row>
    <row r="308" spans="1:12" ht="16.25" customHeight="1" x14ac:dyDescent="0.2">
      <c r="A308" s="10">
        <v>46144</v>
      </c>
      <c r="B308" s="56" t="s">
        <v>20</v>
      </c>
      <c r="C308" s="57"/>
      <c r="D308" s="74"/>
      <c r="E308" s="74"/>
      <c r="F308" s="20"/>
      <c r="G308" s="26"/>
      <c r="H308" s="8"/>
      <c r="I308" s="8"/>
      <c r="J308" s="29"/>
      <c r="K308" s="29"/>
      <c r="L308" s="29"/>
    </row>
    <row r="309" spans="1:12" ht="16.25" customHeight="1" x14ac:dyDescent="0.2">
      <c r="A309" s="10">
        <v>46145</v>
      </c>
      <c r="B309" s="56" t="s">
        <v>20</v>
      </c>
      <c r="C309" s="57"/>
      <c r="D309" s="74"/>
      <c r="E309" s="74"/>
      <c r="F309" s="20"/>
      <c r="G309" s="26"/>
      <c r="H309" s="8"/>
      <c r="I309" s="8"/>
      <c r="J309" s="29"/>
      <c r="K309" s="29"/>
      <c r="L309" s="29"/>
    </row>
    <row r="310" spans="1:12" ht="16.25" customHeight="1" x14ac:dyDescent="0.2">
      <c r="A310" s="7">
        <v>46146</v>
      </c>
      <c r="B310" s="61">
        <v>6</v>
      </c>
      <c r="C310" s="60"/>
      <c r="D310" s="76" t="s">
        <v>310</v>
      </c>
      <c r="E310" s="76" t="s">
        <v>309</v>
      </c>
      <c r="F310" s="21">
        <v>24</v>
      </c>
      <c r="G310" s="27">
        <f>1+SUM(G301:G307)</f>
        <v>35</v>
      </c>
      <c r="H310" s="5"/>
      <c r="I310" s="5"/>
      <c r="J310" s="29"/>
      <c r="K310" s="29"/>
      <c r="L310" s="29"/>
    </row>
    <row r="311" spans="1:12" ht="16.25" customHeight="1" x14ac:dyDescent="0.2">
      <c r="A311" s="7">
        <v>46147</v>
      </c>
      <c r="B311" s="61">
        <v>1</v>
      </c>
      <c r="C311" s="60"/>
      <c r="D311" s="76" t="s">
        <v>310</v>
      </c>
      <c r="E311" s="76" t="s">
        <v>309</v>
      </c>
      <c r="F311" s="21"/>
      <c r="G311" s="27"/>
      <c r="H311" s="5"/>
      <c r="I311" s="5"/>
      <c r="J311" s="29"/>
      <c r="K311" s="29"/>
      <c r="L311" s="29"/>
    </row>
    <row r="312" spans="1:12" ht="16.25" customHeight="1" x14ac:dyDescent="0.2">
      <c r="A312" s="7">
        <v>46148</v>
      </c>
      <c r="B312" s="61">
        <v>2</v>
      </c>
      <c r="C312" s="60"/>
      <c r="D312" s="76" t="s">
        <v>310</v>
      </c>
      <c r="E312" s="76" t="s">
        <v>309</v>
      </c>
      <c r="F312" s="21"/>
      <c r="G312" s="27"/>
      <c r="H312" s="5"/>
      <c r="I312" s="5"/>
      <c r="J312" s="29"/>
      <c r="K312" s="29"/>
      <c r="L312" s="29"/>
    </row>
    <row r="313" spans="1:12" ht="16.25" customHeight="1" x14ac:dyDescent="0.2">
      <c r="A313" s="7">
        <v>46149</v>
      </c>
      <c r="B313" s="61">
        <v>3</v>
      </c>
      <c r="C313" s="60"/>
      <c r="D313" s="76" t="s">
        <v>310</v>
      </c>
      <c r="E313" s="76" t="s">
        <v>309</v>
      </c>
      <c r="F313" s="21"/>
      <c r="G313" s="27"/>
      <c r="H313" s="5"/>
      <c r="I313" s="5"/>
      <c r="J313" s="29"/>
      <c r="K313" s="29"/>
      <c r="L313" s="29"/>
    </row>
    <row r="314" spans="1:12" ht="16.25" customHeight="1" x14ac:dyDescent="0.2">
      <c r="A314" s="7">
        <v>46150</v>
      </c>
      <c r="B314" s="61">
        <v>4</v>
      </c>
      <c r="C314" s="60"/>
      <c r="D314" s="76" t="s">
        <v>310</v>
      </c>
      <c r="E314" s="76" t="s">
        <v>309</v>
      </c>
      <c r="F314" s="21"/>
      <c r="G314" s="27"/>
      <c r="H314" s="5"/>
      <c r="I314" s="5"/>
      <c r="J314" s="29"/>
      <c r="K314" s="29"/>
      <c r="L314" s="29"/>
    </row>
    <row r="315" spans="1:12" ht="16.25" customHeight="1" x14ac:dyDescent="0.2">
      <c r="A315" s="10">
        <v>46151</v>
      </c>
      <c r="B315" s="56" t="s">
        <v>20</v>
      </c>
      <c r="C315" s="57"/>
      <c r="D315" s="74"/>
      <c r="E315" s="74"/>
      <c r="F315" s="20"/>
      <c r="G315" s="26"/>
      <c r="H315" s="8"/>
      <c r="I315" s="8"/>
      <c r="J315" s="29"/>
      <c r="K315" s="29"/>
      <c r="L315" s="29"/>
    </row>
    <row r="316" spans="1:12" ht="16.25" customHeight="1" x14ac:dyDescent="0.2">
      <c r="A316" s="10">
        <v>46152</v>
      </c>
      <c r="B316" s="56" t="s">
        <v>20</v>
      </c>
      <c r="C316" s="57"/>
      <c r="D316" s="74"/>
      <c r="E316" s="74"/>
      <c r="F316" s="20"/>
      <c r="G316" s="26"/>
      <c r="H316" s="8"/>
      <c r="I316" s="8"/>
      <c r="J316" s="29"/>
      <c r="K316" s="29"/>
      <c r="L316" s="29"/>
    </row>
    <row r="317" spans="1:12" ht="16.25" customHeight="1" x14ac:dyDescent="0.2">
      <c r="A317" s="7">
        <v>46153</v>
      </c>
      <c r="B317" s="61">
        <v>5</v>
      </c>
      <c r="C317" s="60"/>
      <c r="D317" s="76"/>
      <c r="E317" s="76" t="s">
        <v>309</v>
      </c>
      <c r="F317" s="21"/>
      <c r="G317" s="27">
        <f>1+SUM(G308:G314)</f>
        <v>36</v>
      </c>
      <c r="H317" s="5"/>
      <c r="I317" s="5"/>
      <c r="J317" s="29"/>
      <c r="K317" s="29"/>
      <c r="L317" s="29"/>
    </row>
    <row r="318" spans="1:12" ht="16.25" customHeight="1" x14ac:dyDescent="0.2">
      <c r="A318" s="7">
        <v>46154</v>
      </c>
      <c r="B318" s="61">
        <v>6</v>
      </c>
      <c r="C318" s="60"/>
      <c r="D318" s="76"/>
      <c r="E318" s="76" t="s">
        <v>309</v>
      </c>
      <c r="F318" s="21">
        <v>25</v>
      </c>
      <c r="G318" s="27"/>
      <c r="H318" s="5"/>
      <c r="I318" s="5"/>
      <c r="J318" s="29"/>
      <c r="K318" s="29"/>
      <c r="L318" s="29"/>
    </row>
    <row r="319" spans="1:12" ht="16.25" customHeight="1" x14ac:dyDescent="0.2">
      <c r="A319" s="7">
        <v>46155</v>
      </c>
      <c r="B319" s="61">
        <v>1</v>
      </c>
      <c r="C319" s="60"/>
      <c r="D319" s="76"/>
      <c r="E319" s="76" t="s">
        <v>309</v>
      </c>
      <c r="F319" s="21"/>
      <c r="G319" s="27"/>
      <c r="H319" s="5"/>
      <c r="I319" s="5"/>
      <c r="J319" s="29"/>
      <c r="K319" s="29"/>
      <c r="L319" s="29"/>
    </row>
    <row r="320" spans="1:12" ht="16.25" customHeight="1" x14ac:dyDescent="0.2">
      <c r="A320" s="7">
        <v>46156</v>
      </c>
      <c r="B320" s="61">
        <v>2</v>
      </c>
      <c r="C320" s="60"/>
      <c r="D320" s="76"/>
      <c r="E320" s="76" t="s">
        <v>309</v>
      </c>
      <c r="F320" s="21"/>
      <c r="G320" s="27"/>
      <c r="H320" s="5"/>
      <c r="I320" s="5"/>
      <c r="J320" s="29"/>
      <c r="K320" s="29"/>
      <c r="L320" s="29"/>
    </row>
    <row r="321" spans="1:12" ht="16.25" customHeight="1" x14ac:dyDescent="0.2">
      <c r="A321" s="10">
        <v>46157</v>
      </c>
      <c r="B321" s="56" t="s">
        <v>109</v>
      </c>
      <c r="C321" s="57"/>
      <c r="D321" s="74"/>
      <c r="E321" s="74" t="s">
        <v>309</v>
      </c>
      <c r="F321" s="20"/>
      <c r="G321" s="26"/>
      <c r="H321" s="8"/>
      <c r="I321" s="8"/>
      <c r="J321" s="29"/>
      <c r="K321" s="29"/>
      <c r="L321" s="29"/>
    </row>
    <row r="322" spans="1:12" ht="16.25" customHeight="1" x14ac:dyDescent="0.2">
      <c r="A322" s="10">
        <v>46158</v>
      </c>
      <c r="B322" s="56" t="s">
        <v>20</v>
      </c>
      <c r="C322" s="57"/>
      <c r="D322" s="74"/>
      <c r="E322" s="74"/>
      <c r="F322" s="20"/>
      <c r="G322" s="26"/>
      <c r="H322" s="8"/>
      <c r="I322" s="8"/>
      <c r="J322" s="29"/>
      <c r="K322" s="29"/>
      <c r="L322" s="29"/>
    </row>
    <row r="323" spans="1:12" ht="16.25" customHeight="1" x14ac:dyDescent="0.2">
      <c r="A323" s="10">
        <v>46159</v>
      </c>
      <c r="B323" s="56" t="s">
        <v>20</v>
      </c>
      <c r="C323" s="57"/>
      <c r="D323" s="74"/>
      <c r="E323" s="74"/>
      <c r="F323" s="20"/>
      <c r="G323" s="26"/>
      <c r="H323" s="8"/>
      <c r="I323" s="8"/>
      <c r="J323" s="29"/>
      <c r="K323" s="29"/>
      <c r="L323" s="29"/>
    </row>
    <row r="324" spans="1:12" ht="16.25" customHeight="1" x14ac:dyDescent="0.2">
      <c r="A324" s="10">
        <v>46160</v>
      </c>
      <c r="B324" s="56" t="s">
        <v>17</v>
      </c>
      <c r="C324" s="57"/>
      <c r="D324" s="74"/>
      <c r="E324" s="74" t="s">
        <v>309</v>
      </c>
      <c r="F324" s="20"/>
      <c r="G324" s="26"/>
      <c r="H324" s="8"/>
      <c r="I324" s="8"/>
      <c r="J324" s="29"/>
      <c r="K324" s="29"/>
      <c r="L324" s="29"/>
    </row>
    <row r="325" spans="1:12" ht="16.25" customHeight="1" x14ac:dyDescent="0.2">
      <c r="A325" s="7">
        <v>46161</v>
      </c>
      <c r="B325" s="61">
        <v>3</v>
      </c>
      <c r="C325" s="60"/>
      <c r="D325" s="76"/>
      <c r="E325" s="76" t="s">
        <v>309</v>
      </c>
      <c r="F325" s="21"/>
      <c r="G325" s="27">
        <f>1+SUM(G316:G322)</f>
        <v>37</v>
      </c>
      <c r="H325" s="5"/>
      <c r="I325" s="5"/>
      <c r="J325" s="29"/>
      <c r="K325" s="29"/>
      <c r="L325" s="29"/>
    </row>
    <row r="326" spans="1:12" ht="16.25" customHeight="1" x14ac:dyDescent="0.2">
      <c r="A326" s="7">
        <v>46162</v>
      </c>
      <c r="B326" s="61">
        <v>4</v>
      </c>
      <c r="C326" s="60"/>
      <c r="D326" s="76"/>
      <c r="E326" s="76" t="s">
        <v>309</v>
      </c>
      <c r="F326" s="21"/>
      <c r="G326" s="27"/>
      <c r="H326" s="5"/>
      <c r="I326" s="5"/>
      <c r="J326" s="29"/>
      <c r="K326" s="29"/>
      <c r="L326" s="29"/>
    </row>
    <row r="327" spans="1:12" ht="16.25" customHeight="1" x14ac:dyDescent="0.2">
      <c r="A327" s="7">
        <v>46163</v>
      </c>
      <c r="B327" s="61">
        <v>5</v>
      </c>
      <c r="C327" s="60"/>
      <c r="D327" s="76"/>
      <c r="E327" s="76"/>
      <c r="F327" s="21"/>
      <c r="G327" s="27"/>
      <c r="H327" s="5"/>
      <c r="I327" s="5"/>
      <c r="J327" s="29"/>
      <c r="K327" s="29"/>
      <c r="L327" s="29"/>
    </row>
    <row r="328" spans="1:12" ht="16.25" customHeight="1" x14ac:dyDescent="0.2">
      <c r="A328" s="7">
        <v>46164</v>
      </c>
      <c r="B328" s="58" t="s">
        <v>51</v>
      </c>
      <c r="C328" s="60" t="s">
        <v>112</v>
      </c>
      <c r="D328" s="76"/>
      <c r="E328" s="76"/>
      <c r="F328" s="21"/>
      <c r="G328" s="27"/>
      <c r="H328" s="5"/>
      <c r="I328" s="5"/>
      <c r="J328" s="29"/>
      <c r="K328" s="29"/>
      <c r="L328" s="29"/>
    </row>
    <row r="329" spans="1:12" ht="16.25" customHeight="1" x14ac:dyDescent="0.2">
      <c r="A329" s="10">
        <v>46165</v>
      </c>
      <c r="B329" s="56" t="s">
        <v>20</v>
      </c>
      <c r="C329" s="57"/>
      <c r="D329" s="74"/>
      <c r="E329" s="74"/>
      <c r="F329" s="20"/>
      <c r="G329" s="26"/>
      <c r="H329" s="8"/>
      <c r="I329" s="8"/>
      <c r="J329" s="29"/>
      <c r="K329" s="29"/>
      <c r="L329" s="29"/>
    </row>
    <row r="330" spans="1:12" ht="16.25" customHeight="1" x14ac:dyDescent="0.2">
      <c r="A330" s="10">
        <v>46166</v>
      </c>
      <c r="B330" s="56" t="s">
        <v>20</v>
      </c>
      <c r="C330" s="57"/>
      <c r="D330" s="74"/>
      <c r="E330" s="74"/>
      <c r="F330" s="20"/>
      <c r="G330" s="26"/>
      <c r="H330" s="8"/>
      <c r="I330" s="8"/>
      <c r="J330" s="29"/>
      <c r="K330" s="29"/>
      <c r="L330" s="29"/>
    </row>
    <row r="331" spans="1:12" ht="16.25" customHeight="1" x14ac:dyDescent="0.2">
      <c r="A331" s="7">
        <v>46167</v>
      </c>
      <c r="B331" s="61">
        <v>6</v>
      </c>
      <c r="C331" s="60" t="s">
        <v>77</v>
      </c>
      <c r="D331" s="76"/>
      <c r="E331" s="76"/>
      <c r="F331" s="21">
        <v>26</v>
      </c>
      <c r="G331" s="27">
        <f>1+SUM(G322:G328)</f>
        <v>38</v>
      </c>
      <c r="H331" s="5"/>
      <c r="I331" s="5"/>
      <c r="J331" s="29"/>
      <c r="K331" s="29"/>
      <c r="L331" s="29"/>
    </row>
    <row r="332" spans="1:12" ht="16.25" customHeight="1" x14ac:dyDescent="0.2">
      <c r="A332" s="7">
        <v>46168</v>
      </c>
      <c r="B332" s="61">
        <v>1</v>
      </c>
      <c r="C332" s="60" t="s">
        <v>77</v>
      </c>
      <c r="D332" s="76"/>
      <c r="E332" s="76"/>
      <c r="F332" s="21"/>
      <c r="G332" s="27"/>
      <c r="H332" s="5"/>
      <c r="I332" s="5"/>
      <c r="J332" s="29"/>
      <c r="K332" s="29"/>
      <c r="L332" s="29"/>
    </row>
    <row r="333" spans="1:12" ht="16.25" customHeight="1" x14ac:dyDescent="0.2">
      <c r="A333" s="7">
        <v>46169</v>
      </c>
      <c r="B333" s="61">
        <v>2</v>
      </c>
      <c r="C333" s="60" t="s">
        <v>77</v>
      </c>
      <c r="D333" s="76"/>
      <c r="E333" s="76"/>
      <c r="F333" s="21"/>
      <c r="G333" s="27"/>
      <c r="H333" s="5"/>
      <c r="I333" s="5"/>
      <c r="J333" s="29"/>
      <c r="K333" s="29"/>
      <c r="L333" s="29"/>
    </row>
    <row r="334" spans="1:12" ht="16.25" customHeight="1" x14ac:dyDescent="0.2">
      <c r="A334" s="7">
        <v>46170</v>
      </c>
      <c r="B334" s="61">
        <v>3</v>
      </c>
      <c r="C334" s="60" t="s">
        <v>77</v>
      </c>
      <c r="D334" s="76" t="s">
        <v>311</v>
      </c>
      <c r="E334" s="76"/>
      <c r="F334" s="21"/>
      <c r="G334" s="27"/>
      <c r="H334" s="5"/>
      <c r="I334" s="5"/>
      <c r="J334" s="29"/>
      <c r="K334" s="29"/>
      <c r="L334" s="29"/>
    </row>
    <row r="335" spans="1:12" ht="16.25" customHeight="1" x14ac:dyDescent="0.2">
      <c r="A335" s="7">
        <v>46171</v>
      </c>
      <c r="B335" s="61">
        <v>4</v>
      </c>
      <c r="C335" s="60" t="s">
        <v>77</v>
      </c>
      <c r="D335" s="76" t="s">
        <v>311</v>
      </c>
      <c r="E335" s="76"/>
      <c r="F335" s="21"/>
      <c r="G335" s="27"/>
      <c r="H335" s="5"/>
      <c r="I335" s="5"/>
      <c r="J335" s="29"/>
      <c r="K335" s="29"/>
      <c r="L335" s="29"/>
    </row>
    <row r="336" spans="1:12" ht="16.25" customHeight="1" x14ac:dyDescent="0.2">
      <c r="A336" s="10">
        <v>46172</v>
      </c>
      <c r="B336" s="56" t="s">
        <v>20</v>
      </c>
      <c r="C336" s="57"/>
      <c r="D336" s="74"/>
      <c r="E336" s="74"/>
      <c r="F336" s="20"/>
      <c r="G336" s="26"/>
      <c r="H336" s="8"/>
      <c r="I336" s="8"/>
      <c r="J336" s="29"/>
      <c r="K336" s="29"/>
      <c r="L336" s="29"/>
    </row>
    <row r="337" spans="1:12" ht="16.25" customHeight="1" x14ac:dyDescent="0.2">
      <c r="A337" s="10">
        <v>46173</v>
      </c>
      <c r="B337" s="56" t="s">
        <v>20</v>
      </c>
      <c r="C337" s="57"/>
      <c r="D337" s="74"/>
      <c r="E337" s="74"/>
      <c r="F337" s="20"/>
      <c r="G337" s="26"/>
      <c r="H337" s="8"/>
      <c r="I337" s="8"/>
      <c r="J337" s="29"/>
      <c r="K337" s="29"/>
      <c r="L337" s="29"/>
    </row>
    <row r="338" spans="1:12" ht="16.25" customHeight="1" x14ac:dyDescent="0.2">
      <c r="A338" s="7">
        <v>46174</v>
      </c>
      <c r="B338" s="61">
        <v>5</v>
      </c>
      <c r="C338" s="60" t="s">
        <v>77</v>
      </c>
      <c r="D338" s="76"/>
      <c r="E338" s="76"/>
      <c r="F338" s="21"/>
      <c r="G338" s="27">
        <f>1+SUM(G329:G335)</f>
        <v>39</v>
      </c>
      <c r="H338" s="5"/>
      <c r="I338" s="5"/>
      <c r="J338" s="29"/>
      <c r="K338" s="29"/>
      <c r="L338" s="29"/>
    </row>
    <row r="339" spans="1:12" ht="16.25" customHeight="1" x14ac:dyDescent="0.2">
      <c r="A339" s="7">
        <v>46175</v>
      </c>
      <c r="B339" s="61">
        <v>6</v>
      </c>
      <c r="C339" s="60" t="s">
        <v>77</v>
      </c>
      <c r="D339" s="76"/>
      <c r="E339" s="76"/>
      <c r="F339" s="21">
        <v>27</v>
      </c>
      <c r="G339" s="27"/>
      <c r="H339" s="5"/>
      <c r="I339" s="5"/>
      <c r="J339" s="29"/>
      <c r="K339" s="29"/>
      <c r="L339" s="29"/>
    </row>
    <row r="340" spans="1:12" ht="16.25" customHeight="1" x14ac:dyDescent="0.2">
      <c r="A340" s="7">
        <v>46176</v>
      </c>
      <c r="B340" s="61">
        <v>1</v>
      </c>
      <c r="C340" s="69"/>
      <c r="D340" s="76"/>
      <c r="E340" s="76"/>
      <c r="F340" s="21"/>
      <c r="G340" s="27"/>
      <c r="H340" s="5"/>
      <c r="I340" s="5"/>
      <c r="J340" s="29"/>
      <c r="K340" s="29"/>
      <c r="L340" s="29"/>
    </row>
    <row r="341" spans="1:12" ht="16.25" customHeight="1" x14ac:dyDescent="0.2">
      <c r="A341" s="7">
        <v>46177</v>
      </c>
      <c r="B341" s="61">
        <v>2</v>
      </c>
      <c r="C341" s="60"/>
      <c r="D341" s="76"/>
      <c r="E341" s="76"/>
      <c r="F341" s="21"/>
      <c r="G341" s="27"/>
      <c r="H341" s="5"/>
      <c r="I341" s="5"/>
      <c r="J341" s="29"/>
      <c r="K341" s="29"/>
      <c r="L341" s="29"/>
    </row>
    <row r="342" spans="1:12" ht="16.25" customHeight="1" x14ac:dyDescent="0.2">
      <c r="A342" s="7">
        <v>46178</v>
      </c>
      <c r="B342" s="61">
        <v>3</v>
      </c>
      <c r="C342" s="60"/>
      <c r="D342" s="76"/>
      <c r="E342" s="76"/>
      <c r="F342" s="21"/>
      <c r="G342" s="27"/>
      <c r="H342" s="5"/>
      <c r="I342" s="5"/>
      <c r="J342" s="29"/>
      <c r="K342" s="29"/>
      <c r="L342" s="29"/>
    </row>
    <row r="343" spans="1:12" ht="16.25" customHeight="1" x14ac:dyDescent="0.2">
      <c r="A343" s="10">
        <v>46179</v>
      </c>
      <c r="B343" s="56" t="s">
        <v>20</v>
      </c>
      <c r="C343" s="57"/>
      <c r="D343" s="74"/>
      <c r="E343" s="74"/>
      <c r="F343" s="20"/>
      <c r="G343" s="26"/>
      <c r="H343" s="8"/>
      <c r="I343" s="8"/>
      <c r="J343" s="29"/>
      <c r="K343" s="29"/>
      <c r="L343" s="29"/>
    </row>
    <row r="344" spans="1:12" ht="16.25" customHeight="1" x14ac:dyDescent="0.2">
      <c r="A344" s="10">
        <v>46180</v>
      </c>
      <c r="B344" s="56" t="s">
        <v>20</v>
      </c>
      <c r="C344" s="57"/>
      <c r="D344" s="74"/>
      <c r="E344" s="74"/>
      <c r="F344" s="20"/>
      <c r="G344" s="26"/>
      <c r="H344" s="8"/>
      <c r="I344" s="8"/>
      <c r="J344" s="29"/>
      <c r="K344" s="29"/>
      <c r="L344" s="29"/>
    </row>
    <row r="345" spans="1:12" ht="16.25" customHeight="1" x14ac:dyDescent="0.2">
      <c r="A345" s="10">
        <v>46181</v>
      </c>
      <c r="B345" s="56" t="s">
        <v>17</v>
      </c>
      <c r="C345" s="57"/>
      <c r="D345" s="74"/>
      <c r="E345" s="74"/>
      <c r="F345" s="20"/>
      <c r="G345" s="26"/>
      <c r="H345" s="8"/>
      <c r="I345" s="8"/>
      <c r="J345" s="29"/>
      <c r="K345" s="29"/>
      <c r="L345" s="29"/>
    </row>
    <row r="346" spans="1:12" ht="16.25" customHeight="1" x14ac:dyDescent="0.2">
      <c r="A346" s="17">
        <v>46182</v>
      </c>
      <c r="B346" s="64" t="s">
        <v>114</v>
      </c>
      <c r="C346" s="70" t="s">
        <v>115</v>
      </c>
      <c r="D346" s="79"/>
      <c r="E346" s="79"/>
      <c r="F346" s="22"/>
      <c r="G346" s="28">
        <f>1+SUM(G337:G343)</f>
        <v>40</v>
      </c>
      <c r="H346" s="19"/>
      <c r="I346" s="19"/>
      <c r="J346" s="32"/>
      <c r="K346" s="32"/>
      <c r="L346" s="32"/>
    </row>
    <row r="347" spans="1:12" ht="16.25" customHeight="1" x14ac:dyDescent="0.2">
      <c r="A347" s="7">
        <v>46183</v>
      </c>
      <c r="B347" s="61">
        <v>5</v>
      </c>
      <c r="C347" s="69"/>
      <c r="D347" s="76"/>
      <c r="E347" s="76"/>
      <c r="F347" s="21"/>
      <c r="G347" s="27"/>
      <c r="H347" s="5"/>
      <c r="I347" s="5"/>
      <c r="J347" s="29"/>
      <c r="K347" s="29"/>
      <c r="L347" s="29"/>
    </row>
    <row r="348" spans="1:12" ht="16.25" customHeight="1" x14ac:dyDescent="0.2">
      <c r="A348" s="7">
        <v>46184</v>
      </c>
      <c r="B348" s="61">
        <v>6</v>
      </c>
      <c r="C348" s="69" t="s">
        <v>116</v>
      </c>
      <c r="D348" s="76"/>
      <c r="E348" s="76"/>
      <c r="F348" s="21">
        <v>28</v>
      </c>
      <c r="G348" s="27"/>
      <c r="H348" s="5"/>
      <c r="I348" s="5"/>
      <c r="J348" s="29"/>
      <c r="K348" s="29"/>
      <c r="L348" s="29"/>
    </row>
    <row r="349" spans="1:12" ht="16.25" customHeight="1" x14ac:dyDescent="0.2">
      <c r="A349" s="37">
        <v>46185</v>
      </c>
      <c r="B349" s="62">
        <v>1</v>
      </c>
      <c r="C349" s="63" t="s">
        <v>117</v>
      </c>
      <c r="D349" s="78"/>
      <c r="E349" s="78"/>
      <c r="F349" s="40"/>
      <c r="G349" s="41"/>
      <c r="H349" s="42"/>
      <c r="I349" s="42"/>
      <c r="J349" s="43"/>
      <c r="K349" s="43"/>
      <c r="L349" s="43" t="s">
        <v>118</v>
      </c>
    </row>
    <row r="350" spans="1:12" ht="16.25" customHeight="1" x14ac:dyDescent="0.2">
      <c r="A350" s="10">
        <v>46186</v>
      </c>
      <c r="B350" s="56" t="s">
        <v>20</v>
      </c>
      <c r="C350" s="57"/>
      <c r="D350" s="74"/>
      <c r="E350" s="74"/>
      <c r="F350" s="20"/>
      <c r="G350" s="26"/>
      <c r="H350" s="8"/>
      <c r="I350" s="8"/>
      <c r="J350" s="29"/>
      <c r="K350" s="29"/>
      <c r="L350" s="29"/>
    </row>
    <row r="351" spans="1:12" ht="16.25" customHeight="1" x14ac:dyDescent="0.2">
      <c r="A351" s="10">
        <v>46187</v>
      </c>
      <c r="B351" s="56" t="s">
        <v>20</v>
      </c>
      <c r="C351" s="57"/>
      <c r="D351" s="74"/>
      <c r="E351" s="74"/>
      <c r="F351" s="20"/>
      <c r="G351" s="26"/>
      <c r="H351" s="8"/>
      <c r="I351" s="8"/>
      <c r="J351" s="29"/>
      <c r="K351" s="29"/>
      <c r="L351" s="29"/>
    </row>
    <row r="352" spans="1:12" ht="16.25" customHeight="1" x14ac:dyDescent="0.2">
      <c r="A352" s="10">
        <v>46188</v>
      </c>
      <c r="B352" s="56" t="s">
        <v>17</v>
      </c>
      <c r="C352" s="57"/>
      <c r="D352" s="74"/>
      <c r="E352" s="74"/>
      <c r="F352" s="20"/>
      <c r="G352" s="26"/>
      <c r="H352" s="8"/>
      <c r="I352" s="8"/>
      <c r="J352" s="29"/>
      <c r="K352" s="29"/>
      <c r="L352" s="29"/>
    </row>
    <row r="353" spans="1:12" ht="16.25" customHeight="1" x14ac:dyDescent="0.2">
      <c r="A353" s="46">
        <v>46189</v>
      </c>
      <c r="B353" s="66" t="s">
        <v>51</v>
      </c>
      <c r="C353" s="67" t="s">
        <v>119</v>
      </c>
      <c r="D353" s="80"/>
      <c r="E353" s="80"/>
      <c r="F353" s="48"/>
      <c r="G353" s="49"/>
      <c r="H353" s="50"/>
      <c r="I353" s="50"/>
      <c r="J353" s="51"/>
      <c r="K353" s="51"/>
      <c r="L353" s="51" t="s">
        <v>120</v>
      </c>
    </row>
    <row r="354" spans="1:12" ht="16.25" customHeight="1" x14ac:dyDescent="0.2">
      <c r="A354" s="7">
        <v>46190</v>
      </c>
      <c r="B354" s="58" t="s">
        <v>23</v>
      </c>
      <c r="C354" s="60" t="s">
        <v>121</v>
      </c>
      <c r="D354" s="76"/>
      <c r="E354" s="76"/>
      <c r="F354" s="21"/>
      <c r="G354" s="27"/>
      <c r="H354" s="5"/>
      <c r="I354" s="5"/>
      <c r="J354" s="29" t="s">
        <v>122</v>
      </c>
      <c r="K354" s="29" t="s">
        <v>123</v>
      </c>
      <c r="L354" s="29" t="s">
        <v>120</v>
      </c>
    </row>
    <row r="355" spans="1:12" ht="16.25" customHeight="1" x14ac:dyDescent="0.2">
      <c r="A355" s="7">
        <v>46191</v>
      </c>
      <c r="B355" s="58" t="s">
        <v>23</v>
      </c>
      <c r="C355" s="59" t="s">
        <v>124</v>
      </c>
      <c r="D355" s="75"/>
      <c r="E355" s="75"/>
      <c r="F355" s="21"/>
      <c r="G355" s="27"/>
      <c r="H355" s="5"/>
      <c r="I355" s="5"/>
      <c r="J355" s="29"/>
      <c r="K355" s="29" t="s">
        <v>125</v>
      </c>
      <c r="L355" s="29" t="s">
        <v>120</v>
      </c>
    </row>
    <row r="356" spans="1:12" ht="16.25" customHeight="1" x14ac:dyDescent="0.2">
      <c r="A356" s="7">
        <v>46192</v>
      </c>
      <c r="B356" s="58" t="s">
        <v>23</v>
      </c>
      <c r="C356" s="59" t="s">
        <v>126</v>
      </c>
      <c r="D356" s="75"/>
      <c r="E356" s="75"/>
      <c r="F356" s="21"/>
      <c r="G356" s="27"/>
      <c r="H356" s="5"/>
      <c r="I356" s="5"/>
      <c r="J356" s="29"/>
      <c r="K356" s="29" t="s">
        <v>127</v>
      </c>
      <c r="L356" s="29" t="s">
        <v>120</v>
      </c>
    </row>
    <row r="357" spans="1:12" ht="16.25" customHeight="1" x14ac:dyDescent="0.2">
      <c r="A357" s="10">
        <v>46193</v>
      </c>
      <c r="B357" s="56" t="s">
        <v>20</v>
      </c>
      <c r="C357" s="57"/>
      <c r="D357" s="74"/>
      <c r="E357" s="74"/>
      <c r="F357" s="20"/>
      <c r="G357" s="26"/>
      <c r="H357" s="8"/>
      <c r="I357" s="8"/>
      <c r="J357" s="29"/>
      <c r="K357" s="29"/>
      <c r="L357" s="29"/>
    </row>
    <row r="358" spans="1:12" ht="16.25" customHeight="1" x14ac:dyDescent="0.2">
      <c r="A358" s="10">
        <v>46194</v>
      </c>
      <c r="B358" s="56" t="s">
        <v>20</v>
      </c>
      <c r="C358" s="57"/>
      <c r="D358" s="74"/>
      <c r="E358" s="74"/>
      <c r="F358" s="20"/>
      <c r="G358" s="26"/>
      <c r="H358" s="8"/>
      <c r="I358" s="8"/>
      <c r="J358" s="29"/>
      <c r="K358" s="29"/>
      <c r="L358" s="29"/>
    </row>
    <row r="359" spans="1:12" ht="16.25" customHeight="1" x14ac:dyDescent="0.2">
      <c r="A359" s="7">
        <v>46195</v>
      </c>
      <c r="B359" s="58" t="s">
        <v>23</v>
      </c>
      <c r="C359" s="60" t="s">
        <v>124</v>
      </c>
      <c r="D359" s="76"/>
      <c r="E359" s="76"/>
      <c r="F359" s="21"/>
      <c r="G359" s="27"/>
      <c r="H359" s="5"/>
      <c r="I359" s="5"/>
      <c r="J359" s="29"/>
      <c r="K359" s="29"/>
      <c r="L359" s="29"/>
    </row>
    <row r="360" spans="1:12" ht="16.25" customHeight="1" x14ac:dyDescent="0.2">
      <c r="A360" s="7">
        <v>46196</v>
      </c>
      <c r="B360" s="58" t="s">
        <v>23</v>
      </c>
      <c r="C360" s="60" t="s">
        <v>124</v>
      </c>
      <c r="D360" s="76"/>
      <c r="E360" s="76"/>
      <c r="F360" s="21"/>
      <c r="G360" s="27"/>
      <c r="H360" s="5"/>
      <c r="I360" s="5"/>
      <c r="J360" s="29" t="s">
        <v>128</v>
      </c>
      <c r="K360" s="29"/>
      <c r="L360" s="29"/>
    </row>
    <row r="361" spans="1:12" ht="16.25" customHeight="1" x14ac:dyDescent="0.2">
      <c r="A361" s="7">
        <v>46197</v>
      </c>
      <c r="B361" s="58" t="s">
        <v>23</v>
      </c>
      <c r="C361" s="60" t="s">
        <v>124</v>
      </c>
      <c r="D361" s="76"/>
      <c r="E361" s="76"/>
      <c r="F361" s="21"/>
      <c r="G361" s="27"/>
      <c r="H361" s="5"/>
      <c r="I361" s="5"/>
      <c r="J361" s="29" t="s">
        <v>129</v>
      </c>
      <c r="K361" s="29"/>
      <c r="L361" s="29"/>
    </row>
    <row r="362" spans="1:12" ht="16.25" customHeight="1" x14ac:dyDescent="0.2">
      <c r="A362" s="7">
        <v>46198</v>
      </c>
      <c r="B362" s="58" t="s">
        <v>23</v>
      </c>
      <c r="C362" s="60" t="s">
        <v>124</v>
      </c>
      <c r="D362" s="76"/>
      <c r="E362" s="76"/>
      <c r="F362" s="21"/>
      <c r="G362" s="27"/>
      <c r="H362" s="5"/>
      <c r="I362" s="5"/>
      <c r="J362" s="29"/>
      <c r="K362" s="29"/>
      <c r="L362" s="29"/>
    </row>
    <row r="363" spans="1:12" ht="16.25" customHeight="1" x14ac:dyDescent="0.2">
      <c r="A363" s="7">
        <v>46199</v>
      </c>
      <c r="B363" s="58" t="s">
        <v>23</v>
      </c>
      <c r="C363" s="69" t="s">
        <v>130</v>
      </c>
      <c r="D363" s="76"/>
      <c r="E363" s="76"/>
      <c r="F363" s="21"/>
      <c r="G363" s="27"/>
      <c r="H363" s="5"/>
      <c r="I363" s="5"/>
      <c r="J363" s="29"/>
      <c r="K363" s="29"/>
      <c r="L363" s="29"/>
    </row>
    <row r="364" spans="1:12" ht="16.25" customHeight="1" x14ac:dyDescent="0.2">
      <c r="A364" s="10">
        <v>46200</v>
      </c>
      <c r="B364" s="56" t="s">
        <v>20</v>
      </c>
      <c r="C364" s="57"/>
      <c r="D364" s="74"/>
      <c r="E364" s="74"/>
      <c r="F364" s="20"/>
      <c r="G364" s="26"/>
      <c r="H364" s="8"/>
      <c r="I364" s="8"/>
      <c r="J364" s="29"/>
      <c r="K364" s="29"/>
      <c r="L364" s="29"/>
    </row>
    <row r="365" spans="1:12" ht="16.25" customHeight="1" x14ac:dyDescent="0.2">
      <c r="A365" s="10">
        <v>46201</v>
      </c>
      <c r="B365" s="56" t="s">
        <v>20</v>
      </c>
      <c r="C365" s="57"/>
      <c r="D365" s="74"/>
      <c r="E365" s="74"/>
      <c r="F365" s="20"/>
      <c r="G365" s="26"/>
      <c r="H365" s="8"/>
      <c r="I365" s="8"/>
      <c r="J365" s="29"/>
      <c r="K365" s="29"/>
      <c r="L365" s="29"/>
    </row>
    <row r="366" spans="1:12" ht="16.25" customHeight="1" x14ac:dyDescent="0.2">
      <c r="A366" s="10">
        <v>46202</v>
      </c>
      <c r="B366" s="56" t="s">
        <v>17</v>
      </c>
      <c r="C366" s="57"/>
      <c r="D366" s="74"/>
      <c r="E366" s="74"/>
      <c r="F366" s="20"/>
      <c r="G366" s="26"/>
      <c r="H366" s="8"/>
      <c r="I366" s="8"/>
      <c r="J366" s="29"/>
      <c r="K366" s="29"/>
      <c r="L366" s="29"/>
    </row>
    <row r="367" spans="1:12" ht="16.25" customHeight="1" x14ac:dyDescent="0.2">
      <c r="A367" s="7">
        <v>46203</v>
      </c>
      <c r="B367" s="58" t="s">
        <v>23</v>
      </c>
      <c r="C367" s="60" t="s">
        <v>129</v>
      </c>
      <c r="D367" s="76"/>
      <c r="E367" s="76"/>
      <c r="F367" s="21"/>
      <c r="G367" s="27"/>
      <c r="H367" s="5"/>
      <c r="I367" s="5"/>
      <c r="J367" s="29"/>
      <c r="K367" s="29"/>
      <c r="L367" s="29"/>
    </row>
    <row r="368" spans="1:12" ht="16.25" customHeight="1" x14ac:dyDescent="0.2">
      <c r="A368" s="7">
        <v>46204</v>
      </c>
      <c r="B368" s="58" t="s">
        <v>18</v>
      </c>
      <c r="C368" s="59" t="s">
        <v>19</v>
      </c>
      <c r="D368" s="75"/>
      <c r="E368" s="75"/>
      <c r="F368" s="21"/>
      <c r="G368" s="27"/>
      <c r="H368" s="5"/>
      <c r="I368" s="5"/>
      <c r="J368" s="29"/>
      <c r="K368" s="29"/>
      <c r="L368" s="29"/>
    </row>
    <row r="369" spans="1:12" ht="16.25" customHeight="1" x14ac:dyDescent="0.2">
      <c r="A369" s="7">
        <v>46205</v>
      </c>
      <c r="B369" s="58" t="s">
        <v>18</v>
      </c>
      <c r="C369" s="59" t="s">
        <v>19</v>
      </c>
      <c r="D369" s="75"/>
      <c r="E369" s="75"/>
      <c r="F369" s="21"/>
      <c r="G369" s="27"/>
      <c r="H369" s="5"/>
      <c r="I369" s="5"/>
      <c r="J369" s="29"/>
      <c r="K369" s="29"/>
      <c r="L369" s="29"/>
    </row>
    <row r="370" spans="1:12" ht="16.25" customHeight="1" x14ac:dyDescent="0.2">
      <c r="A370" s="7">
        <v>46206</v>
      </c>
      <c r="B370" s="58" t="s">
        <v>18</v>
      </c>
      <c r="C370" s="59" t="s">
        <v>19</v>
      </c>
      <c r="D370" s="75"/>
      <c r="E370" s="75"/>
      <c r="F370" s="21"/>
      <c r="G370" s="27"/>
      <c r="H370" s="5"/>
      <c r="I370" s="5"/>
      <c r="J370" s="29"/>
      <c r="K370" s="29"/>
      <c r="L370" s="29"/>
    </row>
    <row r="371" spans="1:12" ht="16.25" customHeight="1" x14ac:dyDescent="0.2">
      <c r="A371" s="10">
        <v>46207</v>
      </c>
      <c r="B371" s="56" t="s">
        <v>20</v>
      </c>
      <c r="C371" s="57"/>
      <c r="D371" s="74"/>
      <c r="E371" s="74"/>
      <c r="F371" s="20"/>
      <c r="G371" s="26"/>
      <c r="H371" s="8"/>
      <c r="I371" s="8"/>
      <c r="J371" s="29"/>
      <c r="K371" s="29"/>
      <c r="L371" s="29"/>
    </row>
    <row r="372" spans="1:12" ht="16.25" customHeight="1" x14ac:dyDescent="0.2">
      <c r="A372" s="10">
        <v>46208</v>
      </c>
      <c r="B372" s="56" t="s">
        <v>20</v>
      </c>
      <c r="C372" s="57"/>
      <c r="D372" s="74"/>
      <c r="E372" s="74"/>
      <c r="F372" s="20"/>
      <c r="G372" s="26"/>
      <c r="H372" s="8"/>
      <c r="I372" s="8"/>
      <c r="J372" s="29"/>
      <c r="K372" s="29"/>
      <c r="L372" s="29"/>
    </row>
    <row r="373" spans="1:12" ht="16.25" customHeight="1" x14ac:dyDescent="0.2">
      <c r="A373" s="7">
        <v>46209</v>
      </c>
      <c r="B373" s="58" t="s">
        <v>18</v>
      </c>
      <c r="C373" s="59" t="s">
        <v>19</v>
      </c>
      <c r="D373" s="75"/>
      <c r="E373" s="75"/>
      <c r="F373" s="21"/>
      <c r="G373" s="27"/>
      <c r="H373" s="5"/>
      <c r="I373" s="5"/>
      <c r="J373" s="29"/>
      <c r="K373" s="29"/>
      <c r="L373" s="29"/>
    </row>
    <row r="374" spans="1:12" ht="16.25" customHeight="1" x14ac:dyDescent="0.2">
      <c r="A374" s="7">
        <v>46210</v>
      </c>
      <c r="B374" s="58" t="s">
        <v>18</v>
      </c>
      <c r="C374" s="59" t="s">
        <v>19</v>
      </c>
      <c r="D374" s="75"/>
      <c r="E374" s="75"/>
      <c r="F374" s="21"/>
      <c r="G374" s="27"/>
      <c r="H374" s="5"/>
      <c r="I374" s="5"/>
      <c r="J374" s="29"/>
      <c r="K374" s="29"/>
      <c r="L374" s="29"/>
    </row>
    <row r="375" spans="1:12" ht="16.25" customHeight="1" x14ac:dyDescent="0.2">
      <c r="A375" s="7">
        <v>46211</v>
      </c>
      <c r="B375" s="58" t="s">
        <v>18</v>
      </c>
      <c r="C375" s="59" t="s">
        <v>19</v>
      </c>
      <c r="D375" s="75"/>
      <c r="E375" s="75"/>
      <c r="F375" s="21"/>
      <c r="G375" s="27"/>
      <c r="H375" s="5"/>
      <c r="I375" s="5"/>
      <c r="J375" s="29"/>
      <c r="K375" s="29"/>
      <c r="L375" s="29"/>
    </row>
    <row r="376" spans="1:12" ht="16.25" customHeight="1" x14ac:dyDescent="0.2">
      <c r="A376" s="7">
        <v>46212</v>
      </c>
      <c r="B376" s="58" t="s">
        <v>18</v>
      </c>
      <c r="C376" s="59" t="s">
        <v>19</v>
      </c>
      <c r="D376" s="75"/>
      <c r="E376" s="75"/>
      <c r="F376" s="21"/>
      <c r="G376" s="27"/>
      <c r="H376" s="5"/>
      <c r="I376" s="5"/>
      <c r="J376" s="29"/>
      <c r="K376" s="29"/>
      <c r="L376" s="29"/>
    </row>
    <row r="377" spans="1:12" ht="16.25" customHeight="1" x14ac:dyDescent="0.2">
      <c r="A377" s="7">
        <v>46213</v>
      </c>
      <c r="B377" s="58" t="s">
        <v>18</v>
      </c>
      <c r="C377" s="59" t="s">
        <v>19</v>
      </c>
      <c r="D377" s="75"/>
      <c r="E377" s="75"/>
      <c r="F377" s="21"/>
      <c r="G377" s="27"/>
      <c r="H377" s="5"/>
      <c r="I377" s="5"/>
      <c r="J377" s="29"/>
      <c r="K377" s="29"/>
      <c r="L377" s="29"/>
    </row>
    <row r="378" spans="1:12" ht="16.25" customHeight="1" x14ac:dyDescent="0.2">
      <c r="A378" s="10">
        <v>46214</v>
      </c>
      <c r="B378" s="56" t="s">
        <v>20</v>
      </c>
      <c r="C378" s="57"/>
      <c r="D378" s="74"/>
      <c r="E378" s="74"/>
      <c r="F378" s="20"/>
      <c r="G378" s="26"/>
      <c r="H378" s="8"/>
      <c r="I378" s="8"/>
      <c r="J378" s="29"/>
      <c r="K378" s="29"/>
      <c r="L378" s="29"/>
    </row>
    <row r="379" spans="1:12" ht="16.25" customHeight="1" x14ac:dyDescent="0.2">
      <c r="A379" s="10">
        <v>46215</v>
      </c>
      <c r="B379" s="56" t="s">
        <v>20</v>
      </c>
      <c r="C379" s="57"/>
      <c r="D379" s="74"/>
      <c r="E379" s="74"/>
      <c r="F379" s="20"/>
      <c r="G379" s="26"/>
      <c r="H379" s="8"/>
      <c r="I379" s="8"/>
      <c r="J379" s="29"/>
      <c r="K379" s="29"/>
      <c r="L379" s="29"/>
    </row>
    <row r="380" spans="1:12" ht="16.25" customHeight="1" x14ac:dyDescent="0.2">
      <c r="A380" s="7">
        <v>46216</v>
      </c>
      <c r="B380" s="58" t="s">
        <v>18</v>
      </c>
      <c r="C380" s="59" t="s">
        <v>19</v>
      </c>
      <c r="D380" s="75"/>
      <c r="E380" s="75"/>
      <c r="F380" s="21"/>
      <c r="G380" s="27"/>
      <c r="H380" s="5"/>
      <c r="I380" s="5"/>
      <c r="J380" s="29"/>
      <c r="K380" s="29"/>
      <c r="L380" s="29"/>
    </row>
    <row r="381" spans="1:12" ht="16.25" customHeight="1" x14ac:dyDescent="0.2">
      <c r="A381" s="7">
        <v>46217</v>
      </c>
      <c r="B381" s="58" t="s">
        <v>18</v>
      </c>
      <c r="C381" s="59" t="s">
        <v>19</v>
      </c>
      <c r="D381" s="75"/>
      <c r="E381" s="75"/>
      <c r="F381" s="21"/>
      <c r="G381" s="27"/>
      <c r="H381" s="5"/>
      <c r="I381" s="5"/>
      <c r="J381" s="29"/>
      <c r="K381" s="29"/>
      <c r="L381" s="29"/>
    </row>
    <row r="382" spans="1:12" ht="16.25" customHeight="1" x14ac:dyDescent="0.2">
      <c r="A382" s="7">
        <v>46218</v>
      </c>
      <c r="B382" s="58" t="s">
        <v>18</v>
      </c>
      <c r="C382" s="59" t="s">
        <v>19</v>
      </c>
      <c r="D382" s="75"/>
      <c r="E382" s="75"/>
      <c r="F382" s="21"/>
      <c r="G382" s="27"/>
      <c r="H382" s="5"/>
      <c r="I382" s="5"/>
      <c r="J382" s="29"/>
      <c r="K382" s="29"/>
      <c r="L382" s="29"/>
    </row>
    <row r="383" spans="1:12" ht="16.25" customHeight="1" x14ac:dyDescent="0.2">
      <c r="A383" s="7">
        <v>46219</v>
      </c>
      <c r="B383" s="58" t="s">
        <v>18</v>
      </c>
      <c r="C383" s="59" t="s">
        <v>19</v>
      </c>
      <c r="D383" s="75"/>
      <c r="E383" s="75"/>
      <c r="F383" s="21"/>
      <c r="G383" s="27"/>
      <c r="H383" s="5"/>
      <c r="I383" s="5"/>
      <c r="J383" s="29"/>
      <c r="K383" s="29"/>
      <c r="L383" s="29"/>
    </row>
    <row r="384" spans="1:12" ht="16.25" customHeight="1" x14ac:dyDescent="0.2">
      <c r="A384" s="7">
        <v>46220</v>
      </c>
      <c r="B384" s="58" t="s">
        <v>18</v>
      </c>
      <c r="C384" s="59" t="s">
        <v>19</v>
      </c>
      <c r="D384" s="75"/>
      <c r="E384" s="75"/>
      <c r="F384" s="21"/>
      <c r="G384" s="27"/>
      <c r="H384" s="5"/>
      <c r="I384" s="5"/>
      <c r="J384" s="29"/>
      <c r="K384" s="29"/>
      <c r="L384" s="29"/>
    </row>
    <row r="385" spans="1:12" ht="16.25" customHeight="1" x14ac:dyDescent="0.2">
      <c r="A385" s="10">
        <v>46221</v>
      </c>
      <c r="B385" s="56" t="s">
        <v>20</v>
      </c>
      <c r="C385" s="57"/>
      <c r="D385" s="74"/>
      <c r="E385" s="74"/>
      <c r="F385" s="20"/>
      <c r="G385" s="26"/>
      <c r="H385" s="8"/>
      <c r="I385" s="8"/>
      <c r="J385" s="29"/>
      <c r="K385" s="29"/>
      <c r="L385" s="29"/>
    </row>
    <row r="386" spans="1:12" ht="16.25" customHeight="1" x14ac:dyDescent="0.2">
      <c r="A386" s="10">
        <v>46222</v>
      </c>
      <c r="B386" s="56" t="s">
        <v>20</v>
      </c>
      <c r="C386" s="57"/>
      <c r="D386" s="74"/>
      <c r="E386" s="74"/>
      <c r="F386" s="20"/>
      <c r="G386" s="26"/>
      <c r="H386" s="8"/>
      <c r="I386" s="8"/>
      <c r="J386" s="29"/>
      <c r="K386" s="29"/>
      <c r="L386" s="29"/>
    </row>
    <row r="387" spans="1:12" ht="16.25" customHeight="1" x14ac:dyDescent="0.2">
      <c r="A387" s="10">
        <v>46223</v>
      </c>
      <c r="B387" s="56" t="s">
        <v>17</v>
      </c>
      <c r="C387" s="57"/>
      <c r="D387" s="74"/>
      <c r="E387" s="74"/>
      <c r="F387" s="20"/>
      <c r="G387" s="26"/>
      <c r="H387" s="8"/>
      <c r="I387" s="8"/>
      <c r="J387" s="29"/>
      <c r="K387" s="29"/>
      <c r="L387" s="29"/>
    </row>
    <row r="388" spans="1:12" ht="16.25" customHeight="1" x14ac:dyDescent="0.2">
      <c r="A388" s="7">
        <v>46224</v>
      </c>
      <c r="B388" s="58" t="s">
        <v>21</v>
      </c>
      <c r="C388" s="59" t="s">
        <v>22</v>
      </c>
      <c r="D388" s="75"/>
      <c r="E388" s="75"/>
      <c r="F388" s="21"/>
      <c r="G388" s="27"/>
      <c r="H388" s="5"/>
      <c r="I388" s="5"/>
      <c r="J388" s="29"/>
      <c r="K388" s="29"/>
      <c r="L388" s="29"/>
    </row>
    <row r="389" spans="1:12" ht="16.25" customHeight="1" x14ac:dyDescent="0.2">
      <c r="A389" s="7">
        <v>46225</v>
      </c>
      <c r="B389" s="58" t="s">
        <v>21</v>
      </c>
      <c r="C389" s="60"/>
      <c r="D389" s="76"/>
      <c r="E389" s="76"/>
      <c r="F389" s="21"/>
      <c r="G389" s="27"/>
      <c r="H389" s="5"/>
      <c r="I389" s="5"/>
      <c r="J389" s="29"/>
      <c r="K389" s="29"/>
      <c r="L389" s="29"/>
    </row>
    <row r="390" spans="1:12" ht="16.25" customHeight="1" x14ac:dyDescent="0.2">
      <c r="A390" s="7">
        <v>46226</v>
      </c>
      <c r="B390" s="58" t="s">
        <v>21</v>
      </c>
      <c r="C390" s="60"/>
      <c r="D390" s="76"/>
      <c r="E390" s="76"/>
      <c r="F390" s="21"/>
      <c r="G390" s="27"/>
      <c r="H390" s="5"/>
      <c r="I390" s="5"/>
      <c r="J390" s="29"/>
      <c r="K390" s="29"/>
      <c r="L390" s="29"/>
    </row>
    <row r="391" spans="1:12" ht="16.25" customHeight="1" x14ac:dyDescent="0.2">
      <c r="A391" s="7">
        <v>46227</v>
      </c>
      <c r="B391" s="58" t="s">
        <v>21</v>
      </c>
      <c r="C391" s="60"/>
      <c r="D391" s="76"/>
      <c r="E391" s="76"/>
      <c r="F391" s="21"/>
      <c r="G391" s="27"/>
      <c r="H391" s="5"/>
      <c r="I391" s="5"/>
      <c r="J391" s="29"/>
      <c r="K391" s="29"/>
      <c r="L391" s="29"/>
    </row>
    <row r="392" spans="1:12" ht="16.25" customHeight="1" x14ac:dyDescent="0.2">
      <c r="A392" s="10">
        <v>46228</v>
      </c>
      <c r="B392" s="56" t="s">
        <v>20</v>
      </c>
      <c r="C392" s="57"/>
      <c r="D392" s="74"/>
      <c r="E392" s="74"/>
      <c r="F392" s="20"/>
      <c r="G392" s="26"/>
      <c r="H392" s="8"/>
      <c r="I392" s="8"/>
      <c r="J392" s="29"/>
      <c r="K392" s="29"/>
      <c r="L392" s="29"/>
    </row>
    <row r="393" spans="1:12" ht="16.25" customHeight="1" x14ac:dyDescent="0.2">
      <c r="A393" s="10">
        <v>46229</v>
      </c>
      <c r="B393" s="56" t="s">
        <v>20</v>
      </c>
      <c r="C393" s="57"/>
      <c r="D393" s="74"/>
      <c r="E393" s="74"/>
      <c r="F393" s="20"/>
      <c r="G393" s="26"/>
      <c r="H393" s="8"/>
      <c r="I393" s="8"/>
      <c r="J393" s="29"/>
      <c r="K393" s="29"/>
      <c r="L393" s="29"/>
    </row>
    <row r="394" spans="1:12" ht="16.25" customHeight="1" x14ac:dyDescent="0.2">
      <c r="A394" s="7">
        <v>46230</v>
      </c>
      <c r="B394" s="58" t="s">
        <v>21</v>
      </c>
      <c r="C394" s="60" t="s">
        <v>24</v>
      </c>
      <c r="D394" s="76"/>
      <c r="E394" s="76"/>
      <c r="F394" s="21"/>
      <c r="G394" s="27"/>
      <c r="H394" s="5"/>
      <c r="I394" s="5"/>
      <c r="J394" s="29"/>
      <c r="K394" s="29"/>
      <c r="L394" s="29"/>
    </row>
    <row r="395" spans="1:12" ht="16.25" customHeight="1" x14ac:dyDescent="0.2">
      <c r="A395" s="7">
        <v>46231</v>
      </c>
      <c r="B395" s="58" t="s">
        <v>21</v>
      </c>
      <c r="C395" s="60"/>
      <c r="D395" s="76"/>
      <c r="E395" s="76"/>
      <c r="F395" s="21"/>
      <c r="G395" s="27"/>
      <c r="H395" s="5"/>
      <c r="I395" s="5"/>
      <c r="J395" s="29"/>
      <c r="K395" s="29"/>
      <c r="L395" s="29"/>
    </row>
    <row r="396" spans="1:12" ht="16.25" customHeight="1" x14ac:dyDescent="0.2">
      <c r="A396" s="7">
        <v>46232</v>
      </c>
      <c r="B396" s="58" t="s">
        <v>21</v>
      </c>
      <c r="C396" s="60" t="s">
        <v>25</v>
      </c>
      <c r="D396" s="76"/>
      <c r="E396" s="76"/>
      <c r="F396" s="21"/>
      <c r="G396" s="27"/>
      <c r="H396" s="5"/>
      <c r="I396" s="5"/>
      <c r="J396" s="29"/>
      <c r="K396" s="29"/>
      <c r="L396" s="29"/>
    </row>
    <row r="397" spans="1:12" ht="16.25" customHeight="1" x14ac:dyDescent="0.2">
      <c r="A397" s="7">
        <v>46233</v>
      </c>
      <c r="B397" s="58" t="s">
        <v>21</v>
      </c>
      <c r="C397" s="60"/>
      <c r="D397" s="76"/>
      <c r="E397" s="76"/>
      <c r="F397" s="21"/>
      <c r="G397" s="27"/>
      <c r="H397" s="5"/>
      <c r="I397" s="5"/>
      <c r="J397" s="29"/>
      <c r="K397" s="29"/>
      <c r="L397" s="29"/>
    </row>
    <row r="398" spans="1:12" ht="16.25" customHeight="1" x14ac:dyDescent="0.2">
      <c r="A398" s="7">
        <v>46234</v>
      </c>
      <c r="B398" s="58" t="s">
        <v>21</v>
      </c>
      <c r="C398" s="60"/>
      <c r="D398" s="76"/>
      <c r="E398" s="76"/>
      <c r="F398" s="21"/>
      <c r="G398" s="27"/>
      <c r="H398" s="5"/>
      <c r="I398" s="5"/>
      <c r="J398" s="29"/>
      <c r="K398" s="29"/>
      <c r="L398" s="29"/>
    </row>
    <row r="399" spans="1:12" ht="16.25" customHeight="1" x14ac:dyDescent="0.2">
      <c r="A399" s="10">
        <v>46235</v>
      </c>
      <c r="B399" s="56" t="s">
        <v>20</v>
      </c>
      <c r="C399" s="71"/>
      <c r="D399" s="81"/>
      <c r="E399" s="81"/>
      <c r="F399" s="35"/>
      <c r="G399" s="26"/>
      <c r="H399" s="8"/>
      <c r="I399" s="8"/>
      <c r="J399" s="36"/>
      <c r="K399" s="36"/>
      <c r="L399" s="36"/>
    </row>
    <row r="400" spans="1:12" ht="16.25" customHeight="1" x14ac:dyDescent="0.2">
      <c r="A400" s="10">
        <v>46236</v>
      </c>
      <c r="B400" s="56" t="s">
        <v>20</v>
      </c>
      <c r="C400" s="71"/>
      <c r="D400" s="81"/>
      <c r="E400" s="81"/>
      <c r="F400" s="35"/>
      <c r="G400" s="26"/>
      <c r="H400" s="8"/>
      <c r="I400" s="8"/>
      <c r="J400" s="36"/>
      <c r="K400" s="36"/>
      <c r="L400" s="36"/>
    </row>
    <row r="401" spans="1:12" ht="16.25" customHeight="1" x14ac:dyDescent="0.2">
      <c r="A401" s="7">
        <v>46237</v>
      </c>
      <c r="B401" s="58" t="s">
        <v>23</v>
      </c>
      <c r="C401" s="69"/>
      <c r="D401" s="82"/>
      <c r="E401" s="82"/>
      <c r="F401" s="31"/>
      <c r="G401" s="27"/>
      <c r="H401" s="5"/>
      <c r="I401" s="5"/>
      <c r="J401" s="29"/>
      <c r="K401" s="29"/>
      <c r="L401" s="29"/>
    </row>
    <row r="402" spans="1:12" ht="16.25" customHeight="1" x14ac:dyDescent="0.2">
      <c r="A402" s="7">
        <v>46238</v>
      </c>
      <c r="B402" s="58"/>
      <c r="C402" s="69"/>
      <c r="D402" s="82"/>
      <c r="E402" s="82"/>
      <c r="F402" s="31"/>
      <c r="G402" s="27"/>
      <c r="H402" s="5"/>
      <c r="I402" s="5"/>
      <c r="J402" s="29"/>
      <c r="K402" s="29"/>
      <c r="L402" s="29"/>
    </row>
    <row r="403" spans="1:12" ht="16.25" customHeight="1" x14ac:dyDescent="0.2">
      <c r="A403" s="7">
        <v>46239</v>
      </c>
      <c r="B403" s="58"/>
      <c r="C403" s="69"/>
      <c r="D403" s="82"/>
      <c r="E403" s="82"/>
      <c r="F403" s="31"/>
      <c r="G403" s="27"/>
      <c r="H403" s="5"/>
      <c r="I403" s="5"/>
      <c r="J403" s="29"/>
      <c r="K403" s="29"/>
      <c r="L403" s="29"/>
    </row>
    <row r="404" spans="1:12" ht="16.25" customHeight="1" x14ac:dyDescent="0.2">
      <c r="A404" s="7">
        <v>46240</v>
      </c>
      <c r="B404" s="58"/>
      <c r="C404" s="69"/>
      <c r="D404" s="82"/>
      <c r="E404" s="82"/>
      <c r="F404" s="31"/>
      <c r="G404" s="27"/>
      <c r="H404" s="5"/>
      <c r="I404" s="5"/>
      <c r="J404" s="29"/>
      <c r="K404" s="29"/>
      <c r="L404" s="29"/>
    </row>
    <row r="405" spans="1:12" ht="16.25" customHeight="1" x14ac:dyDescent="0.2">
      <c r="A405" s="10">
        <v>46241</v>
      </c>
      <c r="B405" s="56" t="s">
        <v>17</v>
      </c>
      <c r="C405" s="71"/>
      <c r="D405" s="81"/>
      <c r="E405" s="81"/>
      <c r="F405" s="35"/>
      <c r="G405" s="26"/>
      <c r="H405" s="8"/>
      <c r="I405" s="8"/>
      <c r="J405" s="36"/>
      <c r="K405" s="36"/>
      <c r="L405" s="36"/>
    </row>
    <row r="406" spans="1:12" ht="16.25" customHeight="1" x14ac:dyDescent="0.2">
      <c r="A406" s="10">
        <v>46242</v>
      </c>
      <c r="B406" s="56" t="s">
        <v>20</v>
      </c>
      <c r="C406" s="71"/>
      <c r="D406" s="81"/>
      <c r="E406" s="81"/>
      <c r="F406" s="35"/>
      <c r="G406" s="26"/>
      <c r="H406" s="8"/>
      <c r="I406" s="8"/>
      <c r="J406" s="36"/>
      <c r="K406" s="36"/>
      <c r="L406" s="36"/>
    </row>
    <row r="407" spans="1:12" ht="16.25" customHeight="1" x14ac:dyDescent="0.2">
      <c r="A407" s="10">
        <v>46243</v>
      </c>
      <c r="B407" s="56" t="s">
        <v>20</v>
      </c>
      <c r="C407" s="71"/>
      <c r="D407" s="81"/>
      <c r="E407" s="81"/>
      <c r="F407" s="35"/>
      <c r="G407" s="26"/>
      <c r="H407" s="8"/>
      <c r="I407" s="8"/>
      <c r="J407" s="36"/>
      <c r="K407" s="36"/>
      <c r="L407" s="36"/>
    </row>
    <row r="408" spans="1:12" ht="16.25" customHeight="1" x14ac:dyDescent="0.2">
      <c r="A408" s="7">
        <v>46244</v>
      </c>
      <c r="B408" s="58"/>
      <c r="C408" s="69"/>
      <c r="D408" s="82"/>
      <c r="E408" s="82"/>
      <c r="F408" s="31"/>
      <c r="G408" s="27"/>
      <c r="H408" s="5"/>
      <c r="I408" s="5"/>
      <c r="J408" s="29"/>
      <c r="K408" s="29"/>
      <c r="L408" s="29"/>
    </row>
  </sheetData>
  <sheetProtection sheet="1" objects="1" scenarios="1" sort="0" autoFilter="0"/>
  <conditionalFormatting sqref="A2:A408">
    <cfRule type="expression" dxfId="1" priority="1">
      <formula>WEEKDAY(A2,2)&gt;5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9552-EC5C-458A-A2B7-2DD6FA030097}">
  <dimension ref="A1:Q408"/>
  <sheetViews>
    <sheetView zoomScaleNormal="100" workbookViewId="0">
      <pane xSplit="1" ySplit="1" topLeftCell="B227" activePane="bottomRight" state="frozen"/>
      <selection pane="topRight" activeCell="B1" sqref="B1"/>
      <selection pane="bottomLeft" activeCell="A2" sqref="A2"/>
      <selection pane="bottomRight" activeCell="E94" sqref="E94"/>
    </sheetView>
  </sheetViews>
  <sheetFormatPr baseColWidth="10" defaultColWidth="8.5" defaultRowHeight="16.25" customHeight="1" x14ac:dyDescent="0.2"/>
  <cols>
    <col min="1" max="1" width="31.5" style="4" customWidth="1"/>
    <col min="2" max="2" width="8.5" style="2" customWidth="1"/>
    <col min="3" max="4" width="25.5" style="72" customWidth="1"/>
    <col min="5" max="6" width="52" style="3" customWidth="1"/>
    <col min="7" max="7" width="4.83203125" style="72" customWidth="1"/>
    <col min="8" max="8" width="4.83203125" style="2" customWidth="1"/>
    <col min="9" max="10" width="7.5" style="2" hidden="1" customWidth="1"/>
    <col min="11" max="11" width="17.5" style="2" hidden="1" customWidth="1"/>
    <col min="12" max="13" width="17.5" hidden="1" customWidth="1"/>
    <col min="14" max="17" width="20.83203125" customWidth="1"/>
    <col min="18" max="29" width="20.83203125" style="1" customWidth="1"/>
    <col min="30" max="16384" width="8.5" style="1"/>
  </cols>
  <sheetData>
    <row r="1" spans="1:17" s="11" customFormat="1" ht="36.5" customHeight="1" x14ac:dyDescent="0.3">
      <c r="A1" s="15" t="s">
        <v>0</v>
      </c>
      <c r="B1" s="54" t="s">
        <v>1</v>
      </c>
      <c r="C1" s="55" t="s">
        <v>131</v>
      </c>
      <c r="D1" s="73" t="s">
        <v>7</v>
      </c>
      <c r="E1" s="30" t="s">
        <v>312</v>
      </c>
      <c r="F1" s="30" t="s">
        <v>313</v>
      </c>
      <c r="G1" s="73" t="s">
        <v>10</v>
      </c>
      <c r="H1" s="73" t="s">
        <v>11</v>
      </c>
      <c r="I1" s="12" t="s">
        <v>12</v>
      </c>
      <c r="J1" s="12" t="s">
        <v>13</v>
      </c>
      <c r="K1" s="30" t="s">
        <v>14</v>
      </c>
      <c r="L1" s="30" t="s">
        <v>15</v>
      </c>
      <c r="M1" s="30" t="s">
        <v>16</v>
      </c>
    </row>
    <row r="2" spans="1:17" ht="16.25" customHeight="1" x14ac:dyDescent="0.2">
      <c r="A2" s="10">
        <v>45838</v>
      </c>
      <c r="B2" s="56" t="s">
        <v>17</v>
      </c>
      <c r="C2" s="57"/>
      <c r="D2" s="57"/>
      <c r="E2" s="74"/>
      <c r="F2" s="74"/>
      <c r="G2" s="20"/>
      <c r="H2" s="26"/>
      <c r="I2" s="8"/>
      <c r="J2" s="8"/>
      <c r="K2" s="29"/>
      <c r="L2" s="29"/>
      <c r="M2" s="29"/>
      <c r="Q2" s="1"/>
    </row>
    <row r="3" spans="1:17" ht="16.25" customHeight="1" x14ac:dyDescent="0.2">
      <c r="A3" s="7">
        <v>45839</v>
      </c>
      <c r="B3" s="58" t="s">
        <v>18</v>
      </c>
      <c r="C3" s="59" t="s">
        <v>19</v>
      </c>
      <c r="D3" s="59"/>
      <c r="E3" s="75"/>
      <c r="F3" s="75"/>
      <c r="G3" s="21"/>
      <c r="H3" s="27"/>
      <c r="I3" s="5"/>
      <c r="J3" s="5"/>
      <c r="K3" s="29"/>
      <c r="L3" s="29"/>
      <c r="M3" s="29"/>
      <c r="Q3" s="1"/>
    </row>
    <row r="4" spans="1:17" ht="16.25" customHeight="1" x14ac:dyDescent="0.2">
      <c r="A4" s="7">
        <v>45840</v>
      </c>
      <c r="B4" s="58" t="s">
        <v>18</v>
      </c>
      <c r="C4" s="59" t="s">
        <v>19</v>
      </c>
      <c r="D4" s="59"/>
      <c r="E4" s="75"/>
      <c r="F4" s="75"/>
      <c r="G4" s="21"/>
      <c r="H4" s="27"/>
      <c r="I4" s="5"/>
      <c r="J4" s="5"/>
      <c r="K4" s="29"/>
      <c r="L4" s="29"/>
      <c r="M4" s="29"/>
      <c r="Q4" s="1"/>
    </row>
    <row r="5" spans="1:17" ht="16.25" customHeight="1" x14ac:dyDescent="0.2">
      <c r="A5" s="7">
        <v>45841</v>
      </c>
      <c r="B5" s="58" t="s">
        <v>18</v>
      </c>
      <c r="C5" s="59" t="s">
        <v>19</v>
      </c>
      <c r="D5" s="59"/>
      <c r="E5" s="75"/>
      <c r="F5" s="75"/>
      <c r="G5" s="21"/>
      <c r="H5" s="27"/>
      <c r="I5" s="5"/>
      <c r="J5" s="5"/>
      <c r="K5" s="29"/>
      <c r="L5" s="29"/>
      <c r="M5" s="29"/>
      <c r="Q5" s="1"/>
    </row>
    <row r="6" spans="1:17" ht="16.25" customHeight="1" x14ac:dyDescent="0.2">
      <c r="A6" s="7">
        <v>45842</v>
      </c>
      <c r="B6" s="58" t="s">
        <v>18</v>
      </c>
      <c r="C6" s="59" t="s">
        <v>19</v>
      </c>
      <c r="D6" s="59"/>
      <c r="E6" s="75"/>
      <c r="F6" s="75"/>
      <c r="G6" s="21"/>
      <c r="H6" s="27"/>
      <c r="I6" s="5"/>
      <c r="J6" s="5"/>
      <c r="K6" s="29"/>
      <c r="L6" s="29"/>
      <c r="M6" s="29"/>
      <c r="Q6" s="1"/>
    </row>
    <row r="7" spans="1:17" ht="16.25" customHeight="1" x14ac:dyDescent="0.2">
      <c r="A7" s="10">
        <v>45843</v>
      </c>
      <c r="B7" s="56" t="s">
        <v>20</v>
      </c>
      <c r="C7" s="57"/>
      <c r="D7" s="57"/>
      <c r="E7" s="74"/>
      <c r="F7" s="74"/>
      <c r="G7" s="20"/>
      <c r="H7" s="26"/>
      <c r="I7" s="8"/>
      <c r="J7" s="8"/>
      <c r="K7" s="29"/>
      <c r="L7" s="29"/>
      <c r="M7" s="29"/>
      <c r="Q7" s="1"/>
    </row>
    <row r="8" spans="1:17" ht="16.25" customHeight="1" x14ac:dyDescent="0.2">
      <c r="A8" s="10">
        <v>45844</v>
      </c>
      <c r="B8" s="56" t="s">
        <v>20</v>
      </c>
      <c r="C8" s="57"/>
      <c r="D8" s="57"/>
      <c r="E8" s="74"/>
      <c r="F8" s="74"/>
      <c r="G8" s="20"/>
      <c r="H8" s="26"/>
      <c r="I8" s="8"/>
      <c r="J8" s="8"/>
      <c r="K8" s="29"/>
      <c r="L8" s="29"/>
      <c r="M8" s="29"/>
      <c r="Q8" s="1"/>
    </row>
    <row r="9" spans="1:17" ht="16.25" customHeight="1" x14ac:dyDescent="0.2">
      <c r="A9" s="7">
        <v>45845</v>
      </c>
      <c r="B9" s="58" t="s">
        <v>18</v>
      </c>
      <c r="C9" s="59" t="s">
        <v>19</v>
      </c>
      <c r="D9" s="59"/>
      <c r="E9" s="75"/>
      <c r="F9" s="75"/>
      <c r="G9" s="21"/>
      <c r="H9" s="27"/>
      <c r="I9" s="5"/>
      <c r="J9" s="5"/>
      <c r="K9" s="29"/>
      <c r="L9" s="29"/>
      <c r="M9" s="29"/>
      <c r="Q9" s="1"/>
    </row>
    <row r="10" spans="1:17" ht="16.25" customHeight="1" x14ac:dyDescent="0.2">
      <c r="A10" s="7">
        <v>45846</v>
      </c>
      <c r="B10" s="58" t="s">
        <v>18</v>
      </c>
      <c r="C10" s="59" t="s">
        <v>19</v>
      </c>
      <c r="D10" s="59"/>
      <c r="E10" s="75"/>
      <c r="F10" s="75"/>
      <c r="G10" s="21"/>
      <c r="H10" s="27"/>
      <c r="I10" s="5"/>
      <c r="J10" s="5"/>
      <c r="K10" s="29"/>
      <c r="L10" s="29"/>
      <c r="M10" s="29"/>
      <c r="Q10" s="1"/>
    </row>
    <row r="11" spans="1:17" ht="16.25" customHeight="1" x14ac:dyDescent="0.2">
      <c r="A11" s="7">
        <v>45847</v>
      </c>
      <c r="B11" s="58" t="s">
        <v>18</v>
      </c>
      <c r="C11" s="59" t="s">
        <v>19</v>
      </c>
      <c r="D11" s="59"/>
      <c r="E11" s="75"/>
      <c r="F11" s="75"/>
      <c r="G11" s="21"/>
      <c r="H11" s="27"/>
      <c r="I11" s="5"/>
      <c r="J11" s="5"/>
      <c r="K11" s="29"/>
      <c r="L11" s="29"/>
      <c r="M11" s="29"/>
      <c r="Q11" s="1"/>
    </row>
    <row r="12" spans="1:17" ht="16.25" customHeight="1" x14ac:dyDescent="0.2">
      <c r="A12" s="7">
        <v>45848</v>
      </c>
      <c r="B12" s="58" t="s">
        <v>18</v>
      </c>
      <c r="C12" s="59" t="s">
        <v>19</v>
      </c>
      <c r="D12" s="59"/>
      <c r="E12" s="75"/>
      <c r="F12" s="75"/>
      <c r="G12" s="21"/>
      <c r="H12" s="27"/>
      <c r="I12" s="5"/>
      <c r="J12" s="5"/>
      <c r="K12" s="29"/>
      <c r="L12" s="29"/>
      <c r="M12" s="29"/>
      <c r="Q12" s="1"/>
    </row>
    <row r="13" spans="1:17" ht="16.25" customHeight="1" x14ac:dyDescent="0.2">
      <c r="A13" s="7">
        <v>45849</v>
      </c>
      <c r="B13" s="58" t="s">
        <v>18</v>
      </c>
      <c r="C13" s="59" t="s">
        <v>19</v>
      </c>
      <c r="D13" s="59"/>
      <c r="E13" s="75"/>
      <c r="F13" s="75"/>
      <c r="G13" s="21"/>
      <c r="H13" s="27"/>
      <c r="I13" s="5"/>
      <c r="J13" s="5"/>
      <c r="K13" s="29"/>
      <c r="L13" s="29"/>
      <c r="M13" s="29"/>
      <c r="Q13" s="1"/>
    </row>
    <row r="14" spans="1:17" ht="16.25" customHeight="1" x14ac:dyDescent="0.2">
      <c r="A14" s="10">
        <v>45850</v>
      </c>
      <c r="B14" s="56" t="s">
        <v>20</v>
      </c>
      <c r="C14" s="57"/>
      <c r="D14" s="57"/>
      <c r="E14" s="74"/>
      <c r="F14" s="74"/>
      <c r="G14" s="20"/>
      <c r="H14" s="26"/>
      <c r="I14" s="8"/>
      <c r="J14" s="8"/>
      <c r="K14" s="29"/>
      <c r="L14" s="29"/>
      <c r="M14" s="29"/>
      <c r="Q14" s="1"/>
    </row>
    <row r="15" spans="1:17" ht="16.25" customHeight="1" x14ac:dyDescent="0.2">
      <c r="A15" s="10">
        <v>45851</v>
      </c>
      <c r="B15" s="56" t="s">
        <v>20</v>
      </c>
      <c r="C15" s="57"/>
      <c r="D15" s="57"/>
      <c r="E15" s="74"/>
      <c r="F15" s="74"/>
      <c r="G15" s="20"/>
      <c r="H15" s="26"/>
      <c r="I15" s="8"/>
      <c r="J15" s="8"/>
      <c r="K15" s="29"/>
      <c r="L15" s="29"/>
      <c r="M15" s="29"/>
      <c r="Q15" s="1"/>
    </row>
    <row r="16" spans="1:17" ht="16.25" customHeight="1" x14ac:dyDescent="0.2">
      <c r="A16" s="7">
        <v>45852</v>
      </c>
      <c r="B16" s="58" t="s">
        <v>18</v>
      </c>
      <c r="C16" s="59" t="s">
        <v>19</v>
      </c>
      <c r="D16" s="59"/>
      <c r="E16" s="75"/>
      <c r="F16" s="75"/>
      <c r="G16" s="21"/>
      <c r="H16" s="27"/>
      <c r="I16" s="5"/>
      <c r="J16" s="5"/>
      <c r="K16" s="29"/>
      <c r="L16" s="29"/>
      <c r="M16" s="29"/>
      <c r="Q16" s="1"/>
    </row>
    <row r="17" spans="1:17" ht="16.25" customHeight="1" x14ac:dyDescent="0.2">
      <c r="A17" s="7">
        <v>45853</v>
      </c>
      <c r="B17" s="58" t="s">
        <v>18</v>
      </c>
      <c r="C17" s="59" t="s">
        <v>19</v>
      </c>
      <c r="D17" s="59"/>
      <c r="E17" s="75"/>
      <c r="F17" s="75"/>
      <c r="G17" s="21"/>
      <c r="H17" s="27"/>
      <c r="I17" s="5"/>
      <c r="J17" s="5"/>
      <c r="K17" s="29"/>
      <c r="L17" s="29"/>
      <c r="M17" s="29"/>
      <c r="Q17" s="1"/>
    </row>
    <row r="18" spans="1:17" ht="16.25" customHeight="1" x14ac:dyDescent="0.2">
      <c r="A18" s="7">
        <v>45854</v>
      </c>
      <c r="B18" s="58" t="s">
        <v>18</v>
      </c>
      <c r="C18" s="59" t="s">
        <v>19</v>
      </c>
      <c r="D18" s="59"/>
      <c r="E18" s="75"/>
      <c r="F18" s="75"/>
      <c r="G18" s="21"/>
      <c r="H18" s="27"/>
      <c r="I18" s="5"/>
      <c r="J18" s="5"/>
      <c r="K18" s="29"/>
      <c r="L18" s="29"/>
      <c r="M18" s="29"/>
      <c r="Q18" s="1"/>
    </row>
    <row r="19" spans="1:17" ht="16.25" customHeight="1" x14ac:dyDescent="0.2">
      <c r="A19" s="7">
        <v>45855</v>
      </c>
      <c r="B19" s="58" t="s">
        <v>18</v>
      </c>
      <c r="C19" s="59" t="s">
        <v>19</v>
      </c>
      <c r="D19" s="59"/>
      <c r="E19" s="75"/>
      <c r="F19" s="75"/>
      <c r="G19" s="21"/>
      <c r="H19" s="27"/>
      <c r="I19" s="5"/>
      <c r="J19" s="5"/>
      <c r="K19" s="29"/>
      <c r="L19" s="29"/>
      <c r="M19" s="29"/>
      <c r="Q19" s="1"/>
    </row>
    <row r="20" spans="1:17" ht="16.25" customHeight="1" x14ac:dyDescent="0.2">
      <c r="A20" s="7">
        <v>45856</v>
      </c>
      <c r="B20" s="58" t="s">
        <v>18</v>
      </c>
      <c r="C20" s="59" t="s">
        <v>19</v>
      </c>
      <c r="D20" s="59"/>
      <c r="E20" s="75"/>
      <c r="F20" s="75"/>
      <c r="G20" s="21"/>
      <c r="H20" s="27"/>
      <c r="I20" s="5"/>
      <c r="J20" s="5"/>
      <c r="K20" s="29"/>
      <c r="L20" s="29"/>
      <c r="M20" s="29"/>
      <c r="Q20" s="1"/>
    </row>
    <row r="21" spans="1:17" ht="16.25" customHeight="1" x14ac:dyDescent="0.2">
      <c r="A21" s="10">
        <v>45857</v>
      </c>
      <c r="B21" s="56" t="s">
        <v>20</v>
      </c>
      <c r="C21" s="57"/>
      <c r="D21" s="57"/>
      <c r="E21" s="74"/>
      <c r="F21" s="74"/>
      <c r="G21" s="20"/>
      <c r="H21" s="26"/>
      <c r="I21" s="8"/>
      <c r="J21" s="8"/>
      <c r="K21" s="29"/>
      <c r="L21" s="29"/>
      <c r="M21" s="29"/>
      <c r="Q21" s="1"/>
    </row>
    <row r="22" spans="1:17" ht="16.25" customHeight="1" x14ac:dyDescent="0.2">
      <c r="A22" s="10">
        <v>45858</v>
      </c>
      <c r="B22" s="56" t="s">
        <v>17</v>
      </c>
      <c r="C22" s="57"/>
      <c r="D22" s="57"/>
      <c r="E22" s="74"/>
      <c r="F22" s="74"/>
      <c r="G22" s="20"/>
      <c r="H22" s="26"/>
      <c r="I22" s="8"/>
      <c r="J22" s="8"/>
      <c r="K22" s="29"/>
      <c r="L22" s="29"/>
      <c r="M22" s="29"/>
      <c r="Q22" s="1"/>
    </row>
    <row r="23" spans="1:17" ht="16.25" customHeight="1" x14ac:dyDescent="0.2">
      <c r="A23" s="7">
        <v>45859</v>
      </c>
      <c r="B23" s="58" t="s">
        <v>21</v>
      </c>
      <c r="C23" s="60" t="s">
        <v>22</v>
      </c>
      <c r="D23" s="60"/>
      <c r="E23" s="76"/>
      <c r="F23" s="76"/>
      <c r="G23" s="21"/>
      <c r="H23" s="27"/>
      <c r="I23" s="5"/>
      <c r="J23" s="5"/>
      <c r="K23" s="29"/>
      <c r="L23" s="29"/>
      <c r="M23" s="29"/>
      <c r="Q23" s="1"/>
    </row>
    <row r="24" spans="1:17" ht="16.25" customHeight="1" x14ac:dyDescent="0.2">
      <c r="A24" s="7">
        <v>45860</v>
      </c>
      <c r="B24" s="58" t="s">
        <v>21</v>
      </c>
      <c r="C24" s="60"/>
      <c r="D24" s="60"/>
      <c r="E24" s="76"/>
      <c r="F24" s="76"/>
      <c r="G24" s="21"/>
      <c r="H24" s="27"/>
      <c r="I24" s="5"/>
      <c r="J24" s="5"/>
      <c r="K24" s="29"/>
      <c r="L24" s="29"/>
      <c r="M24" s="29"/>
      <c r="Q24" s="1"/>
    </row>
    <row r="25" spans="1:17" ht="16.25" customHeight="1" x14ac:dyDescent="0.2">
      <c r="A25" s="7">
        <v>45861</v>
      </c>
      <c r="B25" s="58" t="s">
        <v>21</v>
      </c>
      <c r="C25" s="60"/>
      <c r="D25" s="60"/>
      <c r="E25" s="76"/>
      <c r="F25" s="76"/>
      <c r="G25" s="21"/>
      <c r="H25" s="27"/>
      <c r="I25" s="5"/>
      <c r="J25" s="5"/>
      <c r="K25" s="29"/>
      <c r="L25" s="29"/>
      <c r="M25" s="29"/>
      <c r="Q25" s="1"/>
    </row>
    <row r="26" spans="1:17" ht="16.25" customHeight="1" x14ac:dyDescent="0.2">
      <c r="A26" s="7">
        <v>45862</v>
      </c>
      <c r="B26" s="58" t="s">
        <v>21</v>
      </c>
      <c r="C26" s="60"/>
      <c r="D26" s="60"/>
      <c r="E26" s="76"/>
      <c r="F26" s="76"/>
      <c r="G26" s="21"/>
      <c r="H26" s="27"/>
      <c r="I26" s="5"/>
      <c r="J26" s="5"/>
      <c r="K26" s="29"/>
      <c r="L26" s="29"/>
      <c r="M26" s="29"/>
      <c r="Q26" s="1"/>
    </row>
    <row r="27" spans="1:17" ht="16.25" customHeight="1" x14ac:dyDescent="0.2">
      <c r="A27" s="7">
        <v>45863</v>
      </c>
      <c r="B27" s="58" t="s">
        <v>21</v>
      </c>
      <c r="C27" s="60"/>
      <c r="D27" s="60"/>
      <c r="E27" s="76"/>
      <c r="F27" s="76"/>
      <c r="G27" s="21"/>
      <c r="H27" s="27"/>
      <c r="I27" s="5"/>
      <c r="J27" s="5"/>
      <c r="K27" s="29"/>
      <c r="L27" s="29"/>
      <c r="M27" s="29"/>
      <c r="Q27" s="1"/>
    </row>
    <row r="28" spans="1:17" ht="16.25" customHeight="1" x14ac:dyDescent="0.2">
      <c r="A28" s="10">
        <v>45864</v>
      </c>
      <c r="B28" s="56" t="s">
        <v>20</v>
      </c>
      <c r="C28" s="57"/>
      <c r="D28" s="57"/>
      <c r="E28" s="74"/>
      <c r="F28" s="74"/>
      <c r="G28" s="20"/>
      <c r="H28" s="26"/>
      <c r="I28" s="8"/>
      <c r="J28" s="8"/>
      <c r="K28" s="29"/>
      <c r="L28" s="29"/>
      <c r="M28" s="29"/>
      <c r="Q28" s="1"/>
    </row>
    <row r="29" spans="1:17" ht="16.25" customHeight="1" x14ac:dyDescent="0.2">
      <c r="A29" s="10">
        <v>45865</v>
      </c>
      <c r="B29" s="56" t="s">
        <v>20</v>
      </c>
      <c r="C29" s="57"/>
      <c r="D29" s="57"/>
      <c r="E29" s="74"/>
      <c r="F29" s="74"/>
      <c r="G29" s="20"/>
      <c r="H29" s="26"/>
      <c r="I29" s="8"/>
      <c r="J29" s="8"/>
      <c r="K29" s="29"/>
      <c r="L29" s="29"/>
      <c r="M29" s="29"/>
      <c r="Q29" s="1"/>
    </row>
    <row r="30" spans="1:17" ht="16.25" customHeight="1" x14ac:dyDescent="0.2">
      <c r="A30" s="7">
        <v>45866</v>
      </c>
      <c r="B30" s="58" t="s">
        <v>23</v>
      </c>
      <c r="C30" s="60" t="s">
        <v>24</v>
      </c>
      <c r="D30" s="60"/>
      <c r="E30" s="76"/>
      <c r="F30" s="76"/>
      <c r="G30" s="21"/>
      <c r="H30" s="27"/>
      <c r="I30" s="5"/>
      <c r="J30" s="5"/>
      <c r="K30" s="29"/>
      <c r="L30" s="29"/>
      <c r="M30" s="29"/>
      <c r="Q30" s="1"/>
    </row>
    <row r="31" spans="1:17" ht="16.25" customHeight="1" x14ac:dyDescent="0.2">
      <c r="A31" s="7">
        <v>45867</v>
      </c>
      <c r="B31" s="58" t="s">
        <v>23</v>
      </c>
      <c r="C31" s="59"/>
      <c r="D31" s="59"/>
      <c r="E31" s="75"/>
      <c r="F31" s="75"/>
      <c r="G31" s="21"/>
      <c r="H31" s="27"/>
      <c r="I31" s="5"/>
      <c r="J31" s="5"/>
      <c r="K31" s="29"/>
      <c r="L31" s="29"/>
      <c r="M31" s="29"/>
      <c r="Q31" s="1"/>
    </row>
    <row r="32" spans="1:17" ht="16.25" customHeight="1" x14ac:dyDescent="0.2">
      <c r="A32" s="7">
        <v>45868</v>
      </c>
      <c r="B32" s="58" t="s">
        <v>23</v>
      </c>
      <c r="C32" s="60" t="s">
        <v>25</v>
      </c>
      <c r="D32" s="60"/>
      <c r="E32" s="76"/>
      <c r="F32" s="76"/>
      <c r="G32" s="21"/>
      <c r="H32" s="27"/>
      <c r="I32" s="5"/>
      <c r="J32" s="5"/>
      <c r="K32" s="29"/>
      <c r="L32" s="29"/>
      <c r="M32" s="29"/>
    </row>
    <row r="33" spans="1:13" ht="16.25" customHeight="1" x14ac:dyDescent="0.2">
      <c r="A33" s="7">
        <v>45869</v>
      </c>
      <c r="B33" s="58" t="s">
        <v>23</v>
      </c>
      <c r="C33" s="59"/>
      <c r="D33" s="59"/>
      <c r="E33" s="75"/>
      <c r="F33" s="75"/>
      <c r="G33" s="21"/>
      <c r="H33" s="27"/>
      <c r="I33" s="5"/>
      <c r="J33" s="5"/>
      <c r="K33" s="29" t="s">
        <v>22</v>
      </c>
      <c r="L33" s="29" t="s">
        <v>26</v>
      </c>
      <c r="M33" s="29"/>
    </row>
    <row r="34" spans="1:13" ht="16.25" customHeight="1" x14ac:dyDescent="0.2">
      <c r="A34" s="7">
        <v>45870</v>
      </c>
      <c r="B34" s="58" t="s">
        <v>23</v>
      </c>
      <c r="C34" s="60" t="s">
        <v>27</v>
      </c>
      <c r="D34" s="60"/>
      <c r="E34" s="76"/>
      <c r="F34" s="76"/>
      <c r="G34" s="21"/>
      <c r="H34" s="27"/>
      <c r="I34" s="5"/>
      <c r="J34" s="5"/>
      <c r="K34" s="29" t="s">
        <v>28</v>
      </c>
      <c r="L34" s="29"/>
      <c r="M34" s="29"/>
    </row>
    <row r="35" spans="1:13" ht="16.25" customHeight="1" x14ac:dyDescent="0.2">
      <c r="A35" s="10">
        <v>45871</v>
      </c>
      <c r="B35" s="56" t="s">
        <v>20</v>
      </c>
      <c r="C35" s="57"/>
      <c r="D35" s="57"/>
      <c r="E35" s="74"/>
      <c r="F35" s="74"/>
      <c r="G35" s="20"/>
      <c r="H35" s="26"/>
      <c r="I35" s="8"/>
      <c r="J35" s="8"/>
      <c r="K35" s="29"/>
      <c r="L35" s="29"/>
      <c r="M35" s="29"/>
    </row>
    <row r="36" spans="1:13" ht="16.25" customHeight="1" x14ac:dyDescent="0.2">
      <c r="A36" s="10">
        <v>45872</v>
      </c>
      <c r="B36" s="56" t="s">
        <v>29</v>
      </c>
      <c r="C36" s="57"/>
      <c r="D36" s="57"/>
      <c r="E36" s="74"/>
      <c r="F36" s="74"/>
      <c r="G36" s="20"/>
      <c r="H36" s="26"/>
      <c r="I36" s="8"/>
      <c r="J36" s="8"/>
      <c r="K36" s="29"/>
      <c r="L36" s="29"/>
      <c r="M36" s="29"/>
    </row>
    <row r="37" spans="1:13" ht="16.25" customHeight="1" x14ac:dyDescent="0.2">
      <c r="A37" s="7">
        <v>45873</v>
      </c>
      <c r="B37" s="58" t="s">
        <v>23</v>
      </c>
      <c r="C37" s="60" t="s">
        <v>30</v>
      </c>
      <c r="D37" s="60"/>
      <c r="E37" s="76" t="s">
        <v>284</v>
      </c>
      <c r="F37" s="76"/>
      <c r="G37" s="21"/>
      <c r="H37" s="27"/>
      <c r="I37" s="5"/>
      <c r="J37" s="5"/>
      <c r="K37" s="29" t="s">
        <v>31</v>
      </c>
      <c r="L37" s="29" t="s">
        <v>32</v>
      </c>
      <c r="M37" s="29"/>
    </row>
    <row r="38" spans="1:13" ht="16.25" customHeight="1" x14ac:dyDescent="0.2">
      <c r="A38" s="7">
        <v>45874</v>
      </c>
      <c r="B38" s="58" t="s">
        <v>23</v>
      </c>
      <c r="C38" s="60" t="s">
        <v>33</v>
      </c>
      <c r="D38" s="60"/>
      <c r="E38" s="76" t="s">
        <v>284</v>
      </c>
      <c r="F38" s="76"/>
      <c r="G38" s="21"/>
      <c r="H38" s="27"/>
      <c r="I38" s="5"/>
      <c r="J38" s="5"/>
      <c r="K38" s="29" t="s">
        <v>34</v>
      </c>
      <c r="L38" s="29"/>
      <c r="M38" s="29"/>
    </row>
    <row r="39" spans="1:13" ht="16.25" customHeight="1" x14ac:dyDescent="0.2">
      <c r="A39" s="7">
        <v>45875</v>
      </c>
      <c r="B39" s="58" t="s">
        <v>23</v>
      </c>
      <c r="C39" s="60" t="s">
        <v>33</v>
      </c>
      <c r="D39" s="60"/>
      <c r="E39" s="76" t="s">
        <v>284</v>
      </c>
      <c r="F39" s="76"/>
      <c r="G39" s="21"/>
      <c r="H39" s="27"/>
      <c r="I39" s="5"/>
      <c r="J39" s="5"/>
      <c r="K39" s="29"/>
      <c r="L39" s="29"/>
      <c r="M39" s="29"/>
    </row>
    <row r="40" spans="1:13" ht="16.25" customHeight="1" x14ac:dyDescent="0.2">
      <c r="A40" s="10">
        <v>45876</v>
      </c>
      <c r="B40" s="56" t="s">
        <v>17</v>
      </c>
      <c r="C40" s="57"/>
      <c r="D40" s="57"/>
      <c r="E40" s="74"/>
      <c r="F40" s="74"/>
      <c r="G40" s="20"/>
      <c r="H40" s="26"/>
      <c r="I40" s="8"/>
      <c r="J40" s="8"/>
      <c r="K40" s="29"/>
      <c r="L40" s="29"/>
      <c r="M40" s="29"/>
    </row>
    <row r="41" spans="1:13" ht="16.25" customHeight="1" x14ac:dyDescent="0.2">
      <c r="A41" s="7">
        <v>45877</v>
      </c>
      <c r="B41" s="58" t="s">
        <v>23</v>
      </c>
      <c r="C41" s="60" t="s">
        <v>33</v>
      </c>
      <c r="D41" s="60"/>
      <c r="E41" s="76" t="s">
        <v>284</v>
      </c>
      <c r="F41" s="76"/>
      <c r="G41" s="21"/>
      <c r="H41" s="27"/>
      <c r="I41" s="5"/>
      <c r="J41" s="5"/>
      <c r="K41" s="29"/>
      <c r="L41" s="29"/>
      <c r="M41" s="29"/>
    </row>
    <row r="42" spans="1:13" ht="16.25" customHeight="1" x14ac:dyDescent="0.2">
      <c r="A42" s="10">
        <v>45878</v>
      </c>
      <c r="B42" s="56" t="s">
        <v>20</v>
      </c>
      <c r="C42" s="57"/>
      <c r="D42" s="57"/>
      <c r="E42" s="74"/>
      <c r="F42" s="74"/>
      <c r="G42" s="20"/>
      <c r="H42" s="26"/>
      <c r="I42" s="8"/>
      <c r="J42" s="8"/>
      <c r="K42" s="29"/>
      <c r="L42" s="29"/>
      <c r="M42" s="29"/>
    </row>
    <row r="43" spans="1:13" ht="16.25" customHeight="1" x14ac:dyDescent="0.2">
      <c r="A43" s="10">
        <v>45879</v>
      </c>
      <c r="B43" s="56" t="s">
        <v>20</v>
      </c>
      <c r="C43" s="57"/>
      <c r="D43" s="57"/>
      <c r="E43" s="74"/>
      <c r="F43" s="74"/>
      <c r="G43" s="20"/>
      <c r="H43" s="26"/>
      <c r="I43" s="8"/>
      <c r="J43" s="8"/>
      <c r="K43" s="29"/>
      <c r="L43" s="29"/>
      <c r="M43" s="29"/>
    </row>
    <row r="44" spans="1:13" ht="16.25" customHeight="1" x14ac:dyDescent="0.2">
      <c r="A44" s="7">
        <v>45880</v>
      </c>
      <c r="B44" s="58" t="s">
        <v>23</v>
      </c>
      <c r="C44" s="60" t="s">
        <v>36</v>
      </c>
      <c r="D44" s="60"/>
      <c r="E44" s="76" t="s">
        <v>285</v>
      </c>
      <c r="F44" s="76"/>
      <c r="G44" s="21"/>
      <c r="H44" s="27">
        <v>1</v>
      </c>
      <c r="I44" s="5"/>
      <c r="J44" s="5"/>
      <c r="K44" s="29"/>
      <c r="L44" s="29" t="s">
        <v>34</v>
      </c>
      <c r="M44" s="29" t="s">
        <v>37</v>
      </c>
    </row>
    <row r="45" spans="1:13" ht="16.25" customHeight="1" x14ac:dyDescent="0.2">
      <c r="A45" s="7">
        <v>45881</v>
      </c>
      <c r="B45" s="58" t="s">
        <v>23</v>
      </c>
      <c r="C45" s="60" t="s">
        <v>38</v>
      </c>
      <c r="D45" s="60"/>
      <c r="E45" s="76"/>
      <c r="F45" s="76"/>
      <c r="G45" s="21"/>
      <c r="H45" s="27"/>
      <c r="I45" s="5"/>
      <c r="J45" s="5"/>
      <c r="K45" s="29"/>
      <c r="L45" s="29" t="s">
        <v>39</v>
      </c>
      <c r="M45" s="29" t="s">
        <v>40</v>
      </c>
    </row>
    <row r="46" spans="1:13" ht="16.25" customHeight="1" x14ac:dyDescent="0.2">
      <c r="A46" s="7">
        <v>45882</v>
      </c>
      <c r="B46" s="61">
        <v>1</v>
      </c>
      <c r="C46" s="60" t="s">
        <v>41</v>
      </c>
      <c r="D46" s="60"/>
      <c r="E46" s="76"/>
      <c r="F46" s="76"/>
      <c r="G46" s="21"/>
      <c r="H46" s="27"/>
      <c r="I46" s="5"/>
      <c r="J46" s="5"/>
      <c r="K46" s="29"/>
      <c r="L46" s="29" t="s">
        <v>42</v>
      </c>
      <c r="M46" s="29" t="s">
        <v>43</v>
      </c>
    </row>
    <row r="47" spans="1:13" ht="16.25" customHeight="1" x14ac:dyDescent="0.2">
      <c r="A47" s="7">
        <v>45883</v>
      </c>
      <c r="B47" s="61">
        <v>2</v>
      </c>
      <c r="C47" s="60"/>
      <c r="D47" s="60"/>
      <c r="E47" s="76"/>
      <c r="F47" s="76"/>
      <c r="G47" s="21"/>
      <c r="H47" s="27"/>
      <c r="I47" s="5"/>
      <c r="J47" s="5"/>
      <c r="K47" s="29" t="s">
        <v>44</v>
      </c>
      <c r="L47" s="29" t="s">
        <v>45</v>
      </c>
      <c r="M47" s="29"/>
    </row>
    <row r="48" spans="1:13" ht="16.25" customHeight="1" x14ac:dyDescent="0.2">
      <c r="A48" s="7">
        <v>45884</v>
      </c>
      <c r="B48" s="61">
        <v>3</v>
      </c>
      <c r="C48" s="60"/>
      <c r="D48" s="60"/>
      <c r="E48" s="76"/>
      <c r="F48" s="76"/>
      <c r="G48" s="21"/>
      <c r="H48" s="27"/>
      <c r="I48" s="5"/>
      <c r="J48" s="5"/>
      <c r="K48" s="29" t="s">
        <v>46</v>
      </c>
      <c r="L48" s="29"/>
      <c r="M48" s="29"/>
    </row>
    <row r="49" spans="1:13" ht="16.25" customHeight="1" x14ac:dyDescent="0.2">
      <c r="A49" s="10">
        <v>45885</v>
      </c>
      <c r="B49" s="56" t="s">
        <v>20</v>
      </c>
      <c r="C49" s="57"/>
      <c r="D49" s="57"/>
      <c r="E49" s="74"/>
      <c r="F49" s="74"/>
      <c r="G49" s="20"/>
      <c r="H49" s="26"/>
      <c r="I49" s="8"/>
      <c r="J49" s="8"/>
      <c r="K49" s="29"/>
      <c r="L49" s="29"/>
      <c r="M49" s="29"/>
    </row>
    <row r="50" spans="1:13" ht="16.25" customHeight="1" x14ac:dyDescent="0.2">
      <c r="A50" s="10">
        <v>45886</v>
      </c>
      <c r="B50" s="56" t="s">
        <v>20</v>
      </c>
      <c r="C50" s="57"/>
      <c r="D50" s="57"/>
      <c r="E50" s="74"/>
      <c r="F50" s="74"/>
      <c r="G50" s="20"/>
      <c r="H50" s="26"/>
      <c r="I50" s="8"/>
      <c r="J50" s="8"/>
      <c r="K50" s="29"/>
      <c r="L50" s="29"/>
      <c r="M50" s="29"/>
    </row>
    <row r="51" spans="1:13" ht="16.25" customHeight="1" x14ac:dyDescent="0.2">
      <c r="A51" s="10">
        <v>45887</v>
      </c>
      <c r="B51" s="56" t="s">
        <v>17</v>
      </c>
      <c r="C51" s="57"/>
      <c r="D51" s="57"/>
      <c r="E51" s="74"/>
      <c r="F51" s="74"/>
      <c r="G51" s="20"/>
      <c r="H51" s="26"/>
      <c r="I51" s="8"/>
      <c r="J51" s="8"/>
      <c r="K51" s="29"/>
      <c r="L51" s="29"/>
      <c r="M51" s="29"/>
    </row>
    <row r="52" spans="1:13" ht="16.25" customHeight="1" x14ac:dyDescent="0.2">
      <c r="A52" s="7">
        <v>45888</v>
      </c>
      <c r="B52" s="61">
        <v>4</v>
      </c>
      <c r="C52" s="60"/>
      <c r="D52" s="60"/>
      <c r="E52" s="76"/>
      <c r="F52" s="76"/>
      <c r="G52" s="21"/>
      <c r="H52" s="27">
        <f>1+SUM(H43:H49)</f>
        <v>2</v>
      </c>
      <c r="I52" s="5"/>
      <c r="J52" s="5"/>
      <c r="K52" s="29"/>
      <c r="L52" s="29"/>
      <c r="M52" s="29"/>
    </row>
    <row r="53" spans="1:13" ht="16.25" customHeight="1" x14ac:dyDescent="0.2">
      <c r="A53" s="7">
        <v>45889</v>
      </c>
      <c r="B53" s="61">
        <v>5</v>
      </c>
      <c r="C53" s="60"/>
      <c r="D53" s="60"/>
      <c r="E53" s="76"/>
      <c r="F53" s="76"/>
      <c r="G53" s="21"/>
      <c r="H53" s="27"/>
      <c r="I53" s="5"/>
      <c r="J53" s="5"/>
      <c r="K53" s="29"/>
      <c r="L53" s="29"/>
      <c r="M53" s="29"/>
    </row>
    <row r="54" spans="1:13" ht="16.25" customHeight="1" x14ac:dyDescent="0.2">
      <c r="A54" s="7">
        <v>45890</v>
      </c>
      <c r="B54" s="61">
        <v>6</v>
      </c>
      <c r="C54" s="60"/>
      <c r="D54" s="60"/>
      <c r="E54" s="76"/>
      <c r="F54" s="76"/>
      <c r="G54" s="21">
        <v>1</v>
      </c>
      <c r="H54" s="27"/>
      <c r="I54" s="5"/>
      <c r="J54" s="5"/>
      <c r="K54" s="29"/>
      <c r="L54" s="29"/>
      <c r="M54" s="29"/>
    </row>
    <row r="55" spans="1:13" ht="16.25" customHeight="1" x14ac:dyDescent="0.2">
      <c r="A55" s="7">
        <v>45891</v>
      </c>
      <c r="B55" s="61">
        <v>1</v>
      </c>
      <c r="C55" s="60"/>
      <c r="D55" s="60"/>
      <c r="E55" s="76"/>
      <c r="F55" s="76"/>
      <c r="G55" s="21"/>
      <c r="H55" s="27"/>
      <c r="I55" s="5"/>
      <c r="J55" s="5"/>
      <c r="K55" s="29"/>
      <c r="L55" s="29"/>
      <c r="M55" s="29"/>
    </row>
    <row r="56" spans="1:13" ht="16.25" customHeight="1" x14ac:dyDescent="0.2">
      <c r="A56" s="10">
        <v>45892</v>
      </c>
      <c r="B56" s="56" t="s">
        <v>20</v>
      </c>
      <c r="C56" s="57"/>
      <c r="D56" s="57"/>
      <c r="E56" s="74"/>
      <c r="F56" s="74"/>
      <c r="G56" s="20"/>
      <c r="H56" s="26"/>
      <c r="I56" s="8"/>
      <c r="J56" s="8"/>
      <c r="K56" s="29"/>
      <c r="L56" s="29"/>
      <c r="M56" s="29"/>
    </row>
    <row r="57" spans="1:13" ht="16.25" customHeight="1" x14ac:dyDescent="0.2">
      <c r="A57" s="10">
        <v>45893</v>
      </c>
      <c r="B57" s="56" t="s">
        <v>20</v>
      </c>
      <c r="C57" s="57"/>
      <c r="D57" s="57"/>
      <c r="E57" s="74"/>
      <c r="F57" s="74"/>
      <c r="G57" s="20"/>
      <c r="H57" s="26"/>
      <c r="I57" s="8"/>
      <c r="J57" s="8"/>
      <c r="K57" s="29"/>
      <c r="L57" s="29"/>
      <c r="M57" s="29"/>
    </row>
    <row r="58" spans="1:13" ht="16.25" customHeight="1" x14ac:dyDescent="0.2">
      <c r="A58" s="7">
        <v>45894</v>
      </c>
      <c r="B58" s="61">
        <v>2</v>
      </c>
      <c r="C58" s="60"/>
      <c r="D58" s="60"/>
      <c r="E58" s="76"/>
      <c r="F58" s="76"/>
      <c r="G58" s="21"/>
      <c r="H58" s="27">
        <f>1+SUM(H49:H55)</f>
        <v>3</v>
      </c>
      <c r="I58" s="5"/>
      <c r="J58" s="5"/>
      <c r="K58" s="29"/>
      <c r="L58" s="29"/>
      <c r="M58" s="29"/>
    </row>
    <row r="59" spans="1:13" ht="16.25" customHeight="1" x14ac:dyDescent="0.2">
      <c r="A59" s="7">
        <v>45895</v>
      </c>
      <c r="B59" s="61">
        <v>3</v>
      </c>
      <c r="C59" s="60"/>
      <c r="D59" s="60"/>
      <c r="E59" s="76"/>
      <c r="F59" s="76"/>
      <c r="G59" s="21"/>
      <c r="H59" s="27"/>
      <c r="I59" s="5"/>
      <c r="J59" s="5"/>
      <c r="K59" s="29"/>
      <c r="L59" s="29"/>
      <c r="M59" s="29"/>
    </row>
    <row r="60" spans="1:13" ht="16.25" customHeight="1" x14ac:dyDescent="0.2">
      <c r="A60" s="7">
        <v>45896</v>
      </c>
      <c r="B60" s="61">
        <v>4</v>
      </c>
      <c r="C60" s="60"/>
      <c r="D60" s="60"/>
      <c r="E60" s="76"/>
      <c r="F60" s="76"/>
      <c r="G60" s="21"/>
      <c r="H60" s="27"/>
      <c r="I60" s="5"/>
      <c r="J60" s="5"/>
      <c r="K60" s="29"/>
      <c r="L60" s="29"/>
      <c r="M60" s="29"/>
    </row>
    <row r="61" spans="1:13" ht="16.25" customHeight="1" x14ac:dyDescent="0.2">
      <c r="A61" s="7">
        <v>45897</v>
      </c>
      <c r="B61" s="61">
        <v>5</v>
      </c>
      <c r="C61" s="60"/>
      <c r="D61" s="60"/>
      <c r="E61" s="76"/>
      <c r="F61" s="76"/>
      <c r="G61" s="21"/>
      <c r="H61" s="27"/>
      <c r="I61" s="5"/>
      <c r="J61" s="5"/>
      <c r="K61" s="29"/>
      <c r="L61" s="29"/>
      <c r="M61" s="29"/>
    </row>
    <row r="62" spans="1:13" ht="16.25" customHeight="1" x14ac:dyDescent="0.2">
      <c r="A62" s="7">
        <v>45898</v>
      </c>
      <c r="B62" s="61">
        <v>6</v>
      </c>
      <c r="C62" s="60"/>
      <c r="D62" s="60"/>
      <c r="E62" s="76"/>
      <c r="F62" s="76"/>
      <c r="G62" s="21">
        <v>2</v>
      </c>
      <c r="H62" s="27"/>
      <c r="I62" s="5"/>
      <c r="J62" s="5"/>
      <c r="K62" s="29"/>
      <c r="L62" s="29"/>
      <c r="M62" s="29"/>
    </row>
    <row r="63" spans="1:13" ht="16.25" customHeight="1" x14ac:dyDescent="0.2">
      <c r="A63" s="10">
        <v>45899</v>
      </c>
      <c r="B63" s="56" t="s">
        <v>48</v>
      </c>
      <c r="C63" s="56" t="s">
        <v>48</v>
      </c>
      <c r="D63" s="56"/>
      <c r="E63" s="77"/>
      <c r="F63" s="77"/>
      <c r="G63" s="20"/>
      <c r="H63" s="26"/>
      <c r="I63" s="8"/>
      <c r="J63" s="8"/>
      <c r="K63" s="29"/>
      <c r="L63" s="29"/>
      <c r="M63" s="29"/>
    </row>
    <row r="64" spans="1:13" ht="16.25" customHeight="1" x14ac:dyDescent="0.2">
      <c r="A64" s="10">
        <v>45900</v>
      </c>
      <c r="B64" s="56" t="s">
        <v>20</v>
      </c>
      <c r="C64" s="57"/>
      <c r="D64" s="57"/>
      <c r="E64" s="74"/>
      <c r="F64" s="74"/>
      <c r="G64" s="20"/>
      <c r="H64" s="26"/>
      <c r="I64" s="8"/>
      <c r="J64" s="8"/>
      <c r="K64" s="29"/>
      <c r="L64" s="29"/>
      <c r="M64" s="29"/>
    </row>
    <row r="65" spans="1:13" ht="16.25" customHeight="1" x14ac:dyDescent="0.2">
      <c r="A65" s="7">
        <v>45901</v>
      </c>
      <c r="B65" s="61">
        <v>1</v>
      </c>
      <c r="C65" s="60"/>
      <c r="D65" s="60"/>
      <c r="E65" s="76"/>
      <c r="F65" s="76"/>
      <c r="G65" s="21"/>
      <c r="H65" s="27">
        <f>1+SUM(H56:H62)</f>
        <v>4</v>
      </c>
      <c r="I65" s="5"/>
      <c r="J65" s="5"/>
      <c r="K65" s="29"/>
      <c r="L65" s="29"/>
      <c r="M65" s="29"/>
    </row>
    <row r="66" spans="1:13" ht="16.25" customHeight="1" x14ac:dyDescent="0.2">
      <c r="A66" s="7">
        <v>45902</v>
      </c>
      <c r="B66" s="61">
        <v>2</v>
      </c>
      <c r="C66" s="60"/>
      <c r="D66" s="60"/>
      <c r="E66" s="76"/>
      <c r="F66" s="76"/>
      <c r="G66" s="21"/>
      <c r="H66" s="27"/>
      <c r="I66" s="5"/>
      <c r="J66" s="5"/>
      <c r="K66" s="29"/>
      <c r="L66" s="29"/>
      <c r="M66" s="29"/>
    </row>
    <row r="67" spans="1:13" ht="16.25" customHeight="1" x14ac:dyDescent="0.2">
      <c r="A67" s="7">
        <v>45903</v>
      </c>
      <c r="B67" s="61">
        <v>3</v>
      </c>
      <c r="C67" s="60"/>
      <c r="D67" s="60"/>
      <c r="E67" s="76"/>
      <c r="F67" s="76"/>
      <c r="G67" s="21"/>
      <c r="H67" s="27"/>
      <c r="I67" s="5"/>
      <c r="J67" s="5"/>
      <c r="K67" s="29"/>
      <c r="L67" s="29"/>
      <c r="M67" s="29"/>
    </row>
    <row r="68" spans="1:13" ht="16.25" customHeight="1" x14ac:dyDescent="0.2">
      <c r="A68" s="7">
        <v>45904</v>
      </c>
      <c r="B68" s="61">
        <v>4</v>
      </c>
      <c r="C68" s="60"/>
      <c r="D68" s="60"/>
      <c r="E68" s="76"/>
      <c r="F68" s="76"/>
      <c r="G68" s="21"/>
      <c r="H68" s="27"/>
      <c r="I68" s="5"/>
      <c r="J68" s="5"/>
      <c r="K68" s="29"/>
      <c r="L68" s="29"/>
      <c r="M68" s="29"/>
    </row>
    <row r="69" spans="1:13" ht="16.25" customHeight="1" x14ac:dyDescent="0.2">
      <c r="A69" s="7">
        <v>45905</v>
      </c>
      <c r="B69" s="58" t="s">
        <v>51</v>
      </c>
      <c r="C69" s="60" t="s">
        <v>138</v>
      </c>
      <c r="D69" s="60"/>
      <c r="E69" s="76" t="s">
        <v>287</v>
      </c>
      <c r="F69" s="76"/>
      <c r="G69" s="21"/>
      <c r="H69" s="27"/>
      <c r="I69" s="5"/>
      <c r="J69" s="5"/>
      <c r="K69" s="29"/>
      <c r="L69" s="29"/>
      <c r="M69" s="29"/>
    </row>
    <row r="70" spans="1:13" ht="16.25" customHeight="1" x14ac:dyDescent="0.2">
      <c r="A70" s="10">
        <v>45906</v>
      </c>
      <c r="B70" s="56" t="s">
        <v>20</v>
      </c>
      <c r="C70" s="57"/>
      <c r="D70" s="57"/>
      <c r="E70" s="74"/>
      <c r="F70" s="74"/>
      <c r="G70" s="20"/>
      <c r="H70" s="26"/>
      <c r="I70" s="8"/>
      <c r="J70" s="8"/>
      <c r="K70" s="29"/>
      <c r="L70" s="29"/>
      <c r="M70" s="29"/>
    </row>
    <row r="71" spans="1:13" ht="16.25" customHeight="1" x14ac:dyDescent="0.2">
      <c r="A71" s="10">
        <v>45907</v>
      </c>
      <c r="B71" s="56" t="s">
        <v>20</v>
      </c>
      <c r="C71" s="57"/>
      <c r="D71" s="57"/>
      <c r="E71" s="74"/>
      <c r="F71" s="74"/>
      <c r="G71" s="20"/>
      <c r="H71" s="26"/>
      <c r="I71" s="8"/>
      <c r="J71" s="8"/>
      <c r="K71" s="29"/>
      <c r="L71" s="29"/>
      <c r="M71" s="29"/>
    </row>
    <row r="72" spans="1:13" ht="16.25" customHeight="1" x14ac:dyDescent="0.2">
      <c r="A72" s="7">
        <v>45908</v>
      </c>
      <c r="B72" s="61">
        <v>5</v>
      </c>
      <c r="C72" s="60" t="s">
        <v>53</v>
      </c>
      <c r="D72" s="60"/>
      <c r="E72" s="76" t="s">
        <v>192</v>
      </c>
      <c r="F72" s="76"/>
      <c r="G72" s="21"/>
      <c r="H72" s="27">
        <f>1+SUM(H63:H69)</f>
        <v>5</v>
      </c>
      <c r="I72" s="5"/>
      <c r="J72" s="5"/>
      <c r="K72" s="29"/>
      <c r="L72" s="29"/>
      <c r="M72" s="29"/>
    </row>
    <row r="73" spans="1:13" ht="16.25" customHeight="1" x14ac:dyDescent="0.2">
      <c r="A73" s="7">
        <v>45909</v>
      </c>
      <c r="B73" s="61">
        <v>6</v>
      </c>
      <c r="C73" s="60"/>
      <c r="D73" s="60"/>
      <c r="E73" s="81"/>
      <c r="F73" s="76" t="s">
        <v>193</v>
      </c>
      <c r="G73" s="21">
        <v>3</v>
      </c>
      <c r="H73" s="27"/>
      <c r="I73" s="5"/>
      <c r="J73" s="5"/>
      <c r="K73" s="29"/>
      <c r="L73" s="29"/>
      <c r="M73" s="29"/>
    </row>
    <row r="74" spans="1:13" ht="16.25" customHeight="1" x14ac:dyDescent="0.2">
      <c r="A74" s="7">
        <v>45910</v>
      </c>
      <c r="B74" s="61">
        <v>1</v>
      </c>
      <c r="C74" s="60"/>
      <c r="D74" s="60"/>
      <c r="E74" s="76"/>
      <c r="F74" s="76" t="s">
        <v>193</v>
      </c>
      <c r="G74" s="21"/>
      <c r="H74" s="27"/>
      <c r="I74" s="5"/>
      <c r="J74" s="5"/>
      <c r="K74" s="29"/>
      <c r="L74" s="29"/>
      <c r="M74" s="29"/>
    </row>
    <row r="75" spans="1:13" ht="16.25" customHeight="1" x14ac:dyDescent="0.2">
      <c r="A75" s="7">
        <v>45911</v>
      </c>
      <c r="B75" s="61">
        <v>2</v>
      </c>
      <c r="C75" s="60"/>
      <c r="D75" s="60"/>
      <c r="E75" s="76"/>
      <c r="F75" s="76" t="s">
        <v>194</v>
      </c>
      <c r="G75" s="21"/>
      <c r="H75" s="27"/>
      <c r="I75" s="5"/>
      <c r="J75" s="5"/>
      <c r="K75" s="29"/>
      <c r="L75" s="29"/>
      <c r="M75" s="29"/>
    </row>
    <row r="76" spans="1:13" ht="16.25" customHeight="1" x14ac:dyDescent="0.2">
      <c r="A76" s="7">
        <v>45912</v>
      </c>
      <c r="B76" s="61">
        <v>3</v>
      </c>
      <c r="C76" s="60"/>
      <c r="D76" s="60"/>
      <c r="E76" s="76" t="s">
        <v>314</v>
      </c>
      <c r="F76" s="76" t="s">
        <v>194</v>
      </c>
      <c r="G76" s="21"/>
      <c r="H76" s="27"/>
      <c r="I76" s="5"/>
      <c r="J76" s="5"/>
      <c r="K76" s="29"/>
      <c r="L76" s="29"/>
      <c r="M76" s="29"/>
    </row>
    <row r="77" spans="1:13" ht="16.25" customHeight="1" x14ac:dyDescent="0.2">
      <c r="A77" s="10">
        <v>45913</v>
      </c>
      <c r="B77" s="56" t="s">
        <v>20</v>
      </c>
      <c r="C77" s="57"/>
      <c r="D77" s="57"/>
      <c r="E77" s="74"/>
      <c r="F77" s="74"/>
      <c r="G77" s="20"/>
      <c r="H77" s="26"/>
      <c r="I77" s="8"/>
      <c r="J77" s="8"/>
      <c r="K77" s="29"/>
      <c r="L77" s="29"/>
      <c r="M77" s="29"/>
    </row>
    <row r="78" spans="1:13" ht="16.25" customHeight="1" x14ac:dyDescent="0.2">
      <c r="A78" s="10">
        <v>45914</v>
      </c>
      <c r="B78" s="56" t="s">
        <v>20</v>
      </c>
      <c r="C78" s="57"/>
      <c r="D78" s="57"/>
      <c r="E78" s="74"/>
      <c r="F78" s="74"/>
      <c r="G78" s="20"/>
      <c r="H78" s="26"/>
      <c r="I78" s="8"/>
      <c r="J78" s="8"/>
      <c r="K78" s="29"/>
      <c r="L78" s="29"/>
      <c r="M78" s="29"/>
    </row>
    <row r="79" spans="1:13" ht="16.25" customHeight="1" x14ac:dyDescent="0.2">
      <c r="A79" s="7">
        <v>45915</v>
      </c>
      <c r="B79" s="61">
        <v>4</v>
      </c>
      <c r="C79" s="60"/>
      <c r="D79" s="60"/>
      <c r="E79" s="76"/>
      <c r="F79" s="76" t="s">
        <v>194</v>
      </c>
      <c r="G79" s="21"/>
      <c r="H79" s="27">
        <f>1+SUM(H70:H76)</f>
        <v>6</v>
      </c>
      <c r="I79" s="5"/>
      <c r="J79" s="5"/>
      <c r="K79" s="29"/>
      <c r="L79" s="29"/>
      <c r="M79" s="29"/>
    </row>
    <row r="80" spans="1:13" ht="16.25" customHeight="1" x14ac:dyDescent="0.2">
      <c r="A80" s="7">
        <v>45916</v>
      </c>
      <c r="B80" s="61">
        <v>5</v>
      </c>
      <c r="C80" s="60"/>
      <c r="D80" s="60"/>
      <c r="E80" s="76"/>
      <c r="F80" s="76"/>
      <c r="G80" s="21"/>
      <c r="H80" s="27"/>
      <c r="I80" s="5"/>
      <c r="J80" s="5"/>
      <c r="K80" s="29"/>
      <c r="L80" s="29"/>
      <c r="M80" s="29"/>
    </row>
    <row r="81" spans="1:13" ht="16.25" customHeight="1" x14ac:dyDescent="0.2">
      <c r="A81" s="7">
        <v>45917</v>
      </c>
      <c r="B81" s="61">
        <v>6</v>
      </c>
      <c r="C81" s="60"/>
      <c r="D81" s="60"/>
      <c r="E81" s="76" t="s">
        <v>315</v>
      </c>
      <c r="F81" s="76"/>
      <c r="G81" s="21">
        <v>4</v>
      </c>
      <c r="H81" s="27"/>
      <c r="I81" s="5"/>
      <c r="J81" s="5"/>
      <c r="K81" s="29"/>
      <c r="L81" s="29"/>
      <c r="M81" s="29"/>
    </row>
    <row r="82" spans="1:13" ht="16.25" customHeight="1" x14ac:dyDescent="0.2">
      <c r="A82" s="7">
        <v>45918</v>
      </c>
      <c r="B82" s="61">
        <v>1</v>
      </c>
      <c r="C82" s="60"/>
      <c r="D82" s="60"/>
      <c r="E82" s="76"/>
      <c r="F82" s="76"/>
      <c r="G82" s="21"/>
      <c r="H82" s="27"/>
      <c r="I82" s="5"/>
      <c r="J82" s="5"/>
      <c r="K82" s="29"/>
      <c r="L82" s="29"/>
      <c r="M82" s="29"/>
    </row>
    <row r="83" spans="1:13" ht="16.25" customHeight="1" x14ac:dyDescent="0.2">
      <c r="A83" s="7">
        <v>45919</v>
      </c>
      <c r="B83" s="61">
        <v>2</v>
      </c>
      <c r="C83" s="60"/>
      <c r="D83" s="60"/>
      <c r="E83" s="76" t="s">
        <v>315</v>
      </c>
      <c r="F83" s="76"/>
      <c r="G83" s="21"/>
      <c r="H83" s="27"/>
      <c r="I83" s="5"/>
      <c r="J83" s="5"/>
      <c r="K83" s="29"/>
      <c r="L83" s="29"/>
      <c r="M83" s="29"/>
    </row>
    <row r="84" spans="1:13" ht="16.25" customHeight="1" x14ac:dyDescent="0.2">
      <c r="A84" s="10">
        <v>45920</v>
      </c>
      <c r="B84" s="56" t="s">
        <v>20</v>
      </c>
      <c r="C84" s="57"/>
      <c r="D84" s="57"/>
      <c r="E84" s="74"/>
      <c r="F84" s="74"/>
      <c r="G84" s="20"/>
      <c r="H84" s="26"/>
      <c r="I84" s="8"/>
      <c r="J84" s="8"/>
      <c r="K84" s="29"/>
      <c r="L84" s="29"/>
      <c r="M84" s="29"/>
    </row>
    <row r="85" spans="1:13" ht="16.25" customHeight="1" x14ac:dyDescent="0.2">
      <c r="A85" s="10">
        <v>45921</v>
      </c>
      <c r="B85" s="56" t="s">
        <v>20</v>
      </c>
      <c r="C85" s="57"/>
      <c r="D85" s="57"/>
      <c r="E85" s="74"/>
      <c r="F85" s="74"/>
      <c r="G85" s="20"/>
      <c r="H85" s="26"/>
      <c r="I85" s="8"/>
      <c r="J85" s="8"/>
      <c r="K85" s="29"/>
      <c r="L85" s="29"/>
      <c r="M85" s="29"/>
    </row>
    <row r="86" spans="1:13" ht="16.25" customHeight="1" x14ac:dyDescent="0.2">
      <c r="A86" s="7">
        <v>45922</v>
      </c>
      <c r="B86" s="61">
        <v>3</v>
      </c>
      <c r="C86" s="60"/>
      <c r="D86" s="60"/>
      <c r="E86" s="76" t="s">
        <v>315</v>
      </c>
      <c r="F86" s="76"/>
      <c r="G86" s="21"/>
      <c r="H86" s="27">
        <f>1+SUM(H77:H83)</f>
        <v>7</v>
      </c>
      <c r="I86" s="5"/>
      <c r="J86" s="5"/>
      <c r="K86" s="29"/>
      <c r="L86" s="29"/>
      <c r="M86" s="29"/>
    </row>
    <row r="87" spans="1:13" ht="16.25" customHeight="1" x14ac:dyDescent="0.2">
      <c r="A87" s="7">
        <v>45923</v>
      </c>
      <c r="B87" s="61">
        <v>4</v>
      </c>
      <c r="C87" s="60"/>
      <c r="D87" s="60"/>
      <c r="E87" s="76"/>
      <c r="F87" s="76"/>
      <c r="G87" s="21"/>
      <c r="H87" s="27"/>
      <c r="I87" s="5"/>
      <c r="J87" s="5"/>
      <c r="K87" s="29"/>
      <c r="L87" s="29"/>
      <c r="M87" s="29"/>
    </row>
    <row r="88" spans="1:13" ht="16.25" customHeight="1" x14ac:dyDescent="0.2">
      <c r="A88" s="7">
        <v>45924</v>
      </c>
      <c r="B88" s="61">
        <v>5</v>
      </c>
      <c r="C88" s="60"/>
      <c r="D88" s="60"/>
      <c r="E88" s="76" t="s">
        <v>315</v>
      </c>
      <c r="F88" s="76"/>
      <c r="G88" s="21"/>
      <c r="H88" s="27"/>
      <c r="I88" s="5"/>
      <c r="J88" s="5"/>
      <c r="K88" s="29"/>
      <c r="L88" s="29"/>
      <c r="M88" s="29"/>
    </row>
    <row r="89" spans="1:13" ht="16.25" customHeight="1" x14ac:dyDescent="0.2">
      <c r="A89" s="7">
        <v>45925</v>
      </c>
      <c r="B89" s="61">
        <v>6</v>
      </c>
      <c r="C89" s="60"/>
      <c r="D89" s="60"/>
      <c r="E89" s="76"/>
      <c r="F89" s="76"/>
      <c r="G89" s="21">
        <v>5</v>
      </c>
      <c r="H89" s="27"/>
      <c r="I89" s="5"/>
      <c r="J89" s="5"/>
      <c r="K89" s="29"/>
      <c r="L89" s="29"/>
      <c r="M89" s="29"/>
    </row>
    <row r="90" spans="1:13" ht="16.25" customHeight="1" x14ac:dyDescent="0.2">
      <c r="A90" s="7">
        <v>45926</v>
      </c>
      <c r="B90" s="61">
        <v>1</v>
      </c>
      <c r="C90" s="60"/>
      <c r="D90" s="60"/>
      <c r="E90" s="76" t="s">
        <v>316</v>
      </c>
      <c r="F90" s="76" t="s">
        <v>317</v>
      </c>
      <c r="G90" s="21"/>
      <c r="H90" s="27"/>
      <c r="I90" s="5"/>
      <c r="J90" s="5"/>
      <c r="K90" s="29"/>
      <c r="L90" s="29"/>
      <c r="M90" s="29"/>
    </row>
    <row r="91" spans="1:13" ht="16.25" customHeight="1" x14ac:dyDescent="0.2">
      <c r="A91" s="10">
        <v>45927</v>
      </c>
      <c r="B91" s="56" t="s">
        <v>20</v>
      </c>
      <c r="C91" s="57"/>
      <c r="D91" s="57"/>
      <c r="E91" s="74"/>
      <c r="F91" s="74"/>
      <c r="G91" s="20"/>
      <c r="H91" s="26"/>
      <c r="I91" s="8"/>
      <c r="J91" s="8"/>
      <c r="K91" s="29"/>
      <c r="L91" s="29"/>
      <c r="M91" s="29"/>
    </row>
    <row r="92" spans="1:13" ht="16.25" customHeight="1" x14ac:dyDescent="0.2">
      <c r="A92" s="10">
        <v>45928</v>
      </c>
      <c r="B92" s="56" t="s">
        <v>20</v>
      </c>
      <c r="C92" s="57"/>
      <c r="D92" s="57"/>
      <c r="E92" s="74"/>
      <c r="F92" s="74"/>
      <c r="G92" s="20"/>
      <c r="H92" s="26"/>
      <c r="I92" s="8"/>
      <c r="J92" s="8"/>
      <c r="K92" s="29"/>
      <c r="L92" s="29"/>
      <c r="M92" s="29"/>
    </row>
    <row r="93" spans="1:13" ht="16.25" customHeight="1" x14ac:dyDescent="0.2">
      <c r="A93" s="7">
        <v>45929</v>
      </c>
      <c r="B93" s="61">
        <v>2</v>
      </c>
      <c r="C93" s="60"/>
      <c r="D93" s="60"/>
      <c r="E93" s="76"/>
      <c r="F93" s="76"/>
      <c r="G93" s="21"/>
      <c r="H93" s="27">
        <f>1+SUM(H84:H90)</f>
        <v>8</v>
      </c>
      <c r="I93" s="5"/>
      <c r="J93" s="5"/>
      <c r="K93" s="29"/>
      <c r="L93" s="29"/>
      <c r="M93" s="29"/>
    </row>
    <row r="94" spans="1:13" ht="16.25" customHeight="1" x14ac:dyDescent="0.2">
      <c r="A94" s="7">
        <v>45930</v>
      </c>
      <c r="B94" s="61">
        <v>3</v>
      </c>
      <c r="C94" s="60"/>
      <c r="D94" s="60"/>
      <c r="E94" s="82" t="s">
        <v>318</v>
      </c>
      <c r="F94" s="76"/>
      <c r="G94" s="21"/>
      <c r="H94" s="27"/>
      <c r="I94" s="5"/>
      <c r="J94" s="5"/>
      <c r="K94" s="29"/>
      <c r="L94" s="29"/>
      <c r="M94" s="29"/>
    </row>
    <row r="95" spans="1:13" ht="16.25" customHeight="1" x14ac:dyDescent="0.2">
      <c r="A95" s="7">
        <v>45931</v>
      </c>
      <c r="B95" s="61">
        <v>4</v>
      </c>
      <c r="C95" s="60"/>
      <c r="D95" s="60"/>
      <c r="E95" s="76" t="s">
        <v>318</v>
      </c>
      <c r="F95" s="76"/>
      <c r="G95" s="21"/>
      <c r="H95" s="27"/>
      <c r="I95" s="5"/>
      <c r="J95" s="5"/>
      <c r="K95" s="29"/>
      <c r="L95" s="29"/>
      <c r="M95" s="29"/>
    </row>
    <row r="96" spans="1:13" ht="16.25" customHeight="1" x14ac:dyDescent="0.2">
      <c r="A96" s="7">
        <v>45932</v>
      </c>
      <c r="B96" s="61">
        <v>5</v>
      </c>
      <c r="C96" s="60"/>
      <c r="D96" s="60"/>
      <c r="E96" s="76" t="s">
        <v>318</v>
      </c>
      <c r="F96" s="76"/>
      <c r="G96" s="21"/>
      <c r="H96" s="27"/>
      <c r="I96" s="5"/>
      <c r="J96" s="5"/>
      <c r="K96" s="29"/>
      <c r="L96" s="29"/>
      <c r="M96" s="29"/>
    </row>
    <row r="97" spans="1:13" ht="16.25" customHeight="1" x14ac:dyDescent="0.2">
      <c r="A97" s="37">
        <v>45933</v>
      </c>
      <c r="B97" s="62">
        <v>6</v>
      </c>
      <c r="C97" s="63" t="s">
        <v>61</v>
      </c>
      <c r="D97" s="63"/>
      <c r="E97" s="78"/>
      <c r="F97" s="78"/>
      <c r="G97" s="40">
        <v>6</v>
      </c>
      <c r="H97" s="41"/>
      <c r="I97" s="42"/>
      <c r="J97" s="42"/>
      <c r="K97" s="43"/>
      <c r="L97" s="43"/>
      <c r="M97" s="43"/>
    </row>
    <row r="98" spans="1:13" ht="16.25" customHeight="1" x14ac:dyDescent="0.2">
      <c r="A98" s="10">
        <v>45934</v>
      </c>
      <c r="B98" s="56" t="s">
        <v>62</v>
      </c>
      <c r="C98" s="57"/>
      <c r="D98" s="57"/>
      <c r="E98" s="74"/>
      <c r="F98" s="74"/>
      <c r="G98" s="20"/>
      <c r="H98" s="26"/>
      <c r="I98" s="8"/>
      <c r="J98" s="8"/>
      <c r="K98" s="29" t="s">
        <v>63</v>
      </c>
      <c r="L98" s="29" t="s">
        <v>63</v>
      </c>
      <c r="M98" s="29" t="s">
        <v>63</v>
      </c>
    </row>
    <row r="99" spans="1:13" ht="16.25" customHeight="1" x14ac:dyDescent="0.2">
      <c r="A99" s="10">
        <v>45935</v>
      </c>
      <c r="B99" s="56" t="s">
        <v>62</v>
      </c>
      <c r="C99" s="57"/>
      <c r="D99" s="57"/>
      <c r="E99" s="74"/>
      <c r="F99" s="74"/>
      <c r="G99" s="20"/>
      <c r="H99" s="26"/>
      <c r="I99" s="8"/>
      <c r="J99" s="8"/>
      <c r="K99" s="29" t="s">
        <v>63</v>
      </c>
      <c r="L99" s="29" t="s">
        <v>63</v>
      </c>
      <c r="M99" s="29" t="s">
        <v>63</v>
      </c>
    </row>
    <row r="100" spans="1:13" ht="16.25" customHeight="1" x14ac:dyDescent="0.2">
      <c r="A100" s="10">
        <v>45936</v>
      </c>
      <c r="B100" s="56" t="s">
        <v>62</v>
      </c>
      <c r="C100" s="57"/>
      <c r="D100" s="57"/>
      <c r="E100" s="74"/>
      <c r="F100" s="74"/>
      <c r="G100" s="20"/>
      <c r="H100" s="26"/>
      <c r="I100" s="8"/>
      <c r="J100" s="8"/>
      <c r="K100" s="29" t="s">
        <v>63</v>
      </c>
      <c r="L100" s="29" t="s">
        <v>63</v>
      </c>
      <c r="M100" s="29" t="s">
        <v>63</v>
      </c>
    </row>
    <row r="101" spans="1:13" ht="16.25" customHeight="1" x14ac:dyDescent="0.2">
      <c r="A101" s="10">
        <v>45937</v>
      </c>
      <c r="B101" s="56" t="s">
        <v>62</v>
      </c>
      <c r="C101" s="57"/>
      <c r="D101" s="57"/>
      <c r="E101" s="74"/>
      <c r="F101" s="74"/>
      <c r="G101" s="20"/>
      <c r="H101" s="26"/>
      <c r="I101" s="8"/>
      <c r="J101" s="8"/>
      <c r="K101" s="29" t="s">
        <v>63</v>
      </c>
      <c r="L101" s="29" t="s">
        <v>63</v>
      </c>
      <c r="M101" s="29" t="s">
        <v>63</v>
      </c>
    </row>
    <row r="102" spans="1:13" ht="16.25" customHeight="1" x14ac:dyDescent="0.2">
      <c r="A102" s="10">
        <v>45938</v>
      </c>
      <c r="B102" s="56" t="s">
        <v>62</v>
      </c>
      <c r="C102" s="57"/>
      <c r="D102" s="57"/>
      <c r="E102" s="74"/>
      <c r="F102" s="74"/>
      <c r="G102" s="20"/>
      <c r="H102" s="26"/>
      <c r="I102" s="8"/>
      <c r="J102" s="8"/>
      <c r="K102" s="29" t="s">
        <v>63</v>
      </c>
      <c r="L102" s="29" t="s">
        <v>63</v>
      </c>
      <c r="M102" s="29" t="s">
        <v>63</v>
      </c>
    </row>
    <row r="103" spans="1:13" ht="16.25" customHeight="1" x14ac:dyDescent="0.2">
      <c r="A103" s="10">
        <v>45939</v>
      </c>
      <c r="B103" s="56" t="s">
        <v>62</v>
      </c>
      <c r="C103" s="57"/>
      <c r="D103" s="57"/>
      <c r="E103" s="74"/>
      <c r="F103" s="74"/>
      <c r="G103" s="20"/>
      <c r="H103" s="26"/>
      <c r="I103" s="8"/>
      <c r="J103" s="8"/>
      <c r="K103" s="29" t="s">
        <v>63</v>
      </c>
      <c r="L103" s="29" t="s">
        <v>63</v>
      </c>
      <c r="M103" s="29" t="s">
        <v>63</v>
      </c>
    </row>
    <row r="104" spans="1:13" ht="16.25" customHeight="1" x14ac:dyDescent="0.2">
      <c r="A104" s="10">
        <v>45940</v>
      </c>
      <c r="B104" s="56" t="s">
        <v>62</v>
      </c>
      <c r="C104" s="57"/>
      <c r="D104" s="57"/>
      <c r="E104" s="74"/>
      <c r="F104" s="74"/>
      <c r="G104" s="20"/>
      <c r="H104" s="26"/>
      <c r="I104" s="8"/>
      <c r="J104" s="8"/>
      <c r="K104" s="29" t="s">
        <v>63</v>
      </c>
      <c r="L104" s="29" t="s">
        <v>63</v>
      </c>
      <c r="M104" s="29" t="s">
        <v>63</v>
      </c>
    </row>
    <row r="105" spans="1:13" ht="16.25" customHeight="1" x14ac:dyDescent="0.2">
      <c r="A105" s="10">
        <v>45941</v>
      </c>
      <c r="B105" s="56" t="s">
        <v>62</v>
      </c>
      <c r="C105" s="57"/>
      <c r="D105" s="57"/>
      <c r="E105" s="74"/>
      <c r="F105" s="74"/>
      <c r="G105" s="20"/>
      <c r="H105" s="26"/>
      <c r="I105" s="8"/>
      <c r="J105" s="8"/>
      <c r="K105" s="29" t="s">
        <v>63</v>
      </c>
      <c r="L105" s="29" t="s">
        <v>63</v>
      </c>
      <c r="M105" s="29" t="s">
        <v>63</v>
      </c>
    </row>
    <row r="106" spans="1:13" ht="16.25" customHeight="1" x14ac:dyDescent="0.2">
      <c r="A106" s="10">
        <v>45942</v>
      </c>
      <c r="B106" s="56" t="s">
        <v>62</v>
      </c>
      <c r="C106" s="57"/>
      <c r="D106" s="57"/>
      <c r="E106" s="74"/>
      <c r="F106" s="74"/>
      <c r="G106" s="20"/>
      <c r="H106" s="26"/>
      <c r="I106" s="8"/>
      <c r="J106" s="8"/>
      <c r="K106" s="29" t="s">
        <v>63</v>
      </c>
      <c r="L106" s="29" t="s">
        <v>63</v>
      </c>
      <c r="M106" s="29" t="s">
        <v>63</v>
      </c>
    </row>
    <row r="107" spans="1:13" ht="16.25" customHeight="1" x14ac:dyDescent="0.2">
      <c r="A107" s="10">
        <v>45943</v>
      </c>
      <c r="B107" s="56" t="s">
        <v>17</v>
      </c>
      <c r="C107" s="57"/>
      <c r="D107" s="57"/>
      <c r="E107" s="74"/>
      <c r="F107" s="74"/>
      <c r="G107" s="20"/>
      <c r="H107" s="26"/>
      <c r="I107" s="8"/>
      <c r="J107" s="8"/>
      <c r="K107" s="29" t="s">
        <v>63</v>
      </c>
      <c r="L107" s="29" t="s">
        <v>63</v>
      </c>
      <c r="M107" s="29" t="s">
        <v>63</v>
      </c>
    </row>
    <row r="108" spans="1:13" ht="16.25" customHeight="1" x14ac:dyDescent="0.2">
      <c r="A108" s="17">
        <v>45944</v>
      </c>
      <c r="B108" s="64" t="s">
        <v>64</v>
      </c>
      <c r="C108" s="65"/>
      <c r="D108" s="65"/>
      <c r="E108" s="79"/>
      <c r="F108" s="79"/>
      <c r="G108" s="22"/>
      <c r="H108" s="28"/>
      <c r="I108" s="19"/>
      <c r="J108" s="19"/>
      <c r="K108" s="29" t="s">
        <v>65</v>
      </c>
      <c r="L108" s="29" t="s">
        <v>88</v>
      </c>
      <c r="M108" s="29"/>
    </row>
    <row r="109" spans="1:13" ht="16.25" customHeight="1" x14ac:dyDescent="0.2">
      <c r="A109" s="7">
        <v>45945</v>
      </c>
      <c r="B109" s="61">
        <v>1</v>
      </c>
      <c r="C109" s="60"/>
      <c r="D109" s="60"/>
      <c r="E109" s="76"/>
      <c r="F109" s="76"/>
      <c r="G109" s="21"/>
      <c r="H109" s="27">
        <f>1+SUM(H92:H98)</f>
        <v>9</v>
      </c>
      <c r="I109" s="5"/>
      <c r="J109" s="5"/>
      <c r="K109" s="29" t="s">
        <v>88</v>
      </c>
      <c r="L109" s="29"/>
      <c r="M109" s="29"/>
    </row>
    <row r="110" spans="1:13" ht="16.25" customHeight="1" x14ac:dyDescent="0.2">
      <c r="A110" s="7">
        <v>45946</v>
      </c>
      <c r="B110" s="61">
        <v>2</v>
      </c>
      <c r="C110" s="60"/>
      <c r="D110" s="60"/>
      <c r="E110" s="76"/>
      <c r="F110" s="76"/>
      <c r="G110" s="21"/>
      <c r="H110" s="27"/>
      <c r="I110" s="5"/>
      <c r="J110" s="5"/>
      <c r="K110" s="29"/>
      <c r="L110" s="29"/>
      <c r="M110" s="29"/>
    </row>
    <row r="111" spans="1:13" ht="16.25" customHeight="1" x14ac:dyDescent="0.2">
      <c r="A111" s="7">
        <v>45947</v>
      </c>
      <c r="B111" s="61">
        <v>3</v>
      </c>
      <c r="C111" s="60"/>
      <c r="D111" s="60"/>
      <c r="E111" s="76" t="s">
        <v>319</v>
      </c>
      <c r="F111" s="76"/>
      <c r="G111" s="21"/>
      <c r="H111" s="27"/>
      <c r="I111" s="5"/>
      <c r="J111" s="5"/>
      <c r="K111" s="29"/>
      <c r="L111" s="29"/>
      <c r="M111" s="29"/>
    </row>
    <row r="112" spans="1:13" ht="16.25" customHeight="1" x14ac:dyDescent="0.2">
      <c r="A112" s="10">
        <v>45948</v>
      </c>
      <c r="B112" s="56" t="s">
        <v>20</v>
      </c>
      <c r="C112" s="57"/>
      <c r="D112" s="57"/>
      <c r="E112" s="74"/>
      <c r="F112" s="74"/>
      <c r="G112" s="20"/>
      <c r="H112" s="26"/>
      <c r="I112" s="8"/>
      <c r="J112" s="8"/>
      <c r="K112" s="29"/>
      <c r="L112" s="29"/>
      <c r="M112" s="29"/>
    </row>
    <row r="113" spans="1:13" ht="16.25" customHeight="1" x14ac:dyDescent="0.2">
      <c r="A113" s="10">
        <v>45949</v>
      </c>
      <c r="B113" s="56" t="s">
        <v>20</v>
      </c>
      <c r="C113" s="57"/>
      <c r="D113" s="57"/>
      <c r="E113" s="74"/>
      <c r="F113" s="74"/>
      <c r="G113" s="20"/>
      <c r="H113" s="26"/>
      <c r="I113" s="8"/>
      <c r="J113" s="8"/>
      <c r="K113" s="29"/>
      <c r="L113" s="29"/>
      <c r="M113" s="29"/>
    </row>
    <row r="114" spans="1:13" ht="16.25" customHeight="1" x14ac:dyDescent="0.2">
      <c r="A114" s="7">
        <v>45950</v>
      </c>
      <c r="B114" s="61">
        <v>4</v>
      </c>
      <c r="C114" s="60"/>
      <c r="D114" s="60"/>
      <c r="E114" s="76" t="s">
        <v>318</v>
      </c>
      <c r="F114" s="76"/>
      <c r="G114" s="21"/>
      <c r="H114" s="27">
        <f>1+SUM(H105:H111)</f>
        <v>10</v>
      </c>
      <c r="I114" s="5"/>
      <c r="J114" s="5"/>
      <c r="K114" s="29"/>
      <c r="L114" s="29"/>
      <c r="M114" s="29"/>
    </row>
    <row r="115" spans="1:13" ht="16.25" customHeight="1" x14ac:dyDescent="0.2">
      <c r="A115" s="7">
        <v>45951</v>
      </c>
      <c r="B115" s="61">
        <v>5</v>
      </c>
      <c r="C115" s="60"/>
      <c r="D115" s="60"/>
      <c r="E115" s="76" t="s">
        <v>318</v>
      </c>
      <c r="F115" s="76"/>
      <c r="G115" s="21"/>
      <c r="H115" s="27"/>
      <c r="I115" s="5"/>
      <c r="J115" s="5"/>
      <c r="K115" s="29"/>
      <c r="L115" s="29"/>
      <c r="M115" s="29"/>
    </row>
    <row r="116" spans="1:13" ht="16.25" customHeight="1" x14ac:dyDescent="0.2">
      <c r="A116" s="7">
        <v>45952</v>
      </c>
      <c r="B116" s="61">
        <v>6</v>
      </c>
      <c r="C116" s="60"/>
      <c r="D116" s="60"/>
      <c r="E116" s="76" t="s">
        <v>318</v>
      </c>
      <c r="F116" s="76"/>
      <c r="G116" s="21">
        <v>7</v>
      </c>
      <c r="H116" s="27"/>
      <c r="I116" s="5"/>
      <c r="J116" s="5"/>
      <c r="K116" s="29"/>
      <c r="L116" s="29"/>
      <c r="M116" s="29"/>
    </row>
    <row r="117" spans="1:13" ht="16.25" customHeight="1" x14ac:dyDescent="0.2">
      <c r="A117" s="7">
        <v>45953</v>
      </c>
      <c r="B117" s="61">
        <v>1</v>
      </c>
      <c r="C117" s="60"/>
      <c r="D117" s="60"/>
      <c r="E117" s="76" t="s">
        <v>318</v>
      </c>
      <c r="F117" s="76"/>
      <c r="G117" s="21"/>
      <c r="H117" s="27"/>
      <c r="I117" s="5"/>
      <c r="J117" s="5"/>
      <c r="K117" s="29"/>
      <c r="L117" s="29"/>
      <c r="M117" s="29"/>
    </row>
    <row r="118" spans="1:13" ht="16.25" customHeight="1" x14ac:dyDescent="0.2">
      <c r="A118" s="46">
        <v>45954</v>
      </c>
      <c r="B118" s="66" t="s">
        <v>51</v>
      </c>
      <c r="C118" s="67" t="s">
        <v>69</v>
      </c>
      <c r="D118" s="67"/>
      <c r="E118" s="80"/>
      <c r="F118" s="80"/>
      <c r="G118" s="48"/>
      <c r="H118" s="49"/>
      <c r="I118" s="50"/>
      <c r="J118" s="50"/>
      <c r="K118" s="51"/>
      <c r="L118" s="51"/>
      <c r="M118" s="51"/>
    </row>
    <row r="119" spans="1:13" ht="16.25" customHeight="1" x14ac:dyDescent="0.2">
      <c r="A119" s="10">
        <v>45955</v>
      </c>
      <c r="B119" s="56" t="s">
        <v>20</v>
      </c>
      <c r="C119" s="57"/>
      <c r="D119" s="57"/>
      <c r="E119" s="74"/>
      <c r="F119" s="74"/>
      <c r="G119" s="20"/>
      <c r="H119" s="26"/>
      <c r="I119" s="8"/>
      <c r="J119" s="8"/>
      <c r="K119" s="29"/>
      <c r="L119" s="29"/>
      <c r="M119" s="29"/>
    </row>
    <row r="120" spans="1:13" ht="16.25" customHeight="1" x14ac:dyDescent="0.2">
      <c r="A120" s="10">
        <v>45956</v>
      </c>
      <c r="B120" s="56" t="s">
        <v>20</v>
      </c>
      <c r="C120" s="57"/>
      <c r="D120" s="57"/>
      <c r="E120" s="74"/>
      <c r="F120" s="74"/>
      <c r="G120" s="20"/>
      <c r="H120" s="26"/>
      <c r="I120" s="8"/>
      <c r="J120" s="8"/>
      <c r="K120" s="29"/>
      <c r="L120" s="29"/>
      <c r="M120" s="29"/>
    </row>
    <row r="121" spans="1:13" ht="16.25" customHeight="1" x14ac:dyDescent="0.2">
      <c r="A121" s="7">
        <v>45957</v>
      </c>
      <c r="B121" s="61">
        <v>2</v>
      </c>
      <c r="C121" s="60"/>
      <c r="D121" s="60"/>
      <c r="E121" s="76" t="s">
        <v>318</v>
      </c>
      <c r="F121" s="76"/>
      <c r="G121" s="21"/>
      <c r="H121" s="27">
        <f>1+SUM(H112:H118)</f>
        <v>11</v>
      </c>
      <c r="I121" s="5"/>
      <c r="J121" s="5"/>
      <c r="K121" s="29"/>
      <c r="L121" s="29"/>
      <c r="M121" s="29"/>
    </row>
    <row r="122" spans="1:13" ht="16.25" customHeight="1" x14ac:dyDescent="0.2">
      <c r="A122" s="7">
        <v>45958</v>
      </c>
      <c r="B122" s="61">
        <v>3</v>
      </c>
      <c r="C122" s="60"/>
      <c r="D122" s="60"/>
      <c r="E122" s="76"/>
      <c r="F122" s="76"/>
      <c r="G122" s="21"/>
      <c r="H122" s="27"/>
      <c r="I122" s="5"/>
      <c r="J122" s="5"/>
      <c r="K122" s="29"/>
      <c r="L122" s="29"/>
      <c r="M122" s="29"/>
    </row>
    <row r="123" spans="1:13" ht="16.25" customHeight="1" x14ac:dyDescent="0.2">
      <c r="A123" s="7">
        <v>45959</v>
      </c>
      <c r="B123" s="61">
        <v>4</v>
      </c>
      <c r="C123" s="60"/>
      <c r="D123" s="60"/>
      <c r="E123" s="76"/>
      <c r="F123" s="76"/>
      <c r="G123" s="21"/>
      <c r="H123" s="27"/>
      <c r="I123" s="5"/>
      <c r="J123" s="5"/>
      <c r="K123" s="29"/>
      <c r="L123" s="29"/>
      <c r="M123" s="29"/>
    </row>
    <row r="124" spans="1:13" ht="16.25" customHeight="1" x14ac:dyDescent="0.2">
      <c r="A124" s="7">
        <v>45960</v>
      </c>
      <c r="B124" s="61">
        <v>5</v>
      </c>
      <c r="C124" s="60"/>
      <c r="D124" s="60"/>
      <c r="E124" s="76"/>
      <c r="F124" s="76"/>
      <c r="G124" s="21"/>
      <c r="H124" s="27"/>
      <c r="I124" s="5"/>
      <c r="J124" s="5"/>
      <c r="K124" s="29"/>
      <c r="L124" s="29"/>
      <c r="M124" s="29"/>
    </row>
    <row r="125" spans="1:13" ht="16.25" customHeight="1" x14ac:dyDescent="0.2">
      <c r="A125" s="7">
        <v>45961</v>
      </c>
      <c r="B125" s="61">
        <v>6</v>
      </c>
      <c r="C125" s="60"/>
      <c r="D125" s="60"/>
      <c r="E125" s="76"/>
      <c r="F125" s="76"/>
      <c r="G125" s="21">
        <v>8</v>
      </c>
      <c r="H125" s="27"/>
      <c r="I125" s="5"/>
      <c r="J125" s="5"/>
      <c r="K125" s="29"/>
      <c r="L125" s="29"/>
      <c r="M125" s="29"/>
    </row>
    <row r="126" spans="1:13" ht="16.25" customHeight="1" x14ac:dyDescent="0.2">
      <c r="A126" s="10">
        <v>45962</v>
      </c>
      <c r="B126" s="56" t="s">
        <v>20</v>
      </c>
      <c r="C126" s="57"/>
      <c r="D126" s="57"/>
      <c r="E126" s="74"/>
      <c r="F126" s="74"/>
      <c r="G126" s="20"/>
      <c r="H126" s="26"/>
      <c r="I126" s="8"/>
      <c r="J126" s="8"/>
      <c r="K126" s="29"/>
      <c r="L126" s="29"/>
      <c r="M126" s="29"/>
    </row>
    <row r="127" spans="1:13" ht="16.25" customHeight="1" x14ac:dyDescent="0.2">
      <c r="A127" s="10">
        <v>45963</v>
      </c>
      <c r="B127" s="56" t="s">
        <v>20</v>
      </c>
      <c r="C127" s="57"/>
      <c r="D127" s="57"/>
      <c r="E127" s="74"/>
      <c r="F127" s="74"/>
      <c r="G127" s="20"/>
      <c r="H127" s="26"/>
      <c r="I127" s="8"/>
      <c r="J127" s="8"/>
      <c r="K127" s="29"/>
      <c r="L127" s="29"/>
      <c r="M127" s="29"/>
    </row>
    <row r="128" spans="1:13" ht="16.25" customHeight="1" x14ac:dyDescent="0.2">
      <c r="A128" s="10">
        <v>45964</v>
      </c>
      <c r="B128" s="56" t="s">
        <v>17</v>
      </c>
      <c r="C128" s="57"/>
      <c r="D128" s="57"/>
      <c r="E128" s="74"/>
      <c r="F128" s="74"/>
      <c r="G128" s="20"/>
      <c r="H128" s="26"/>
      <c r="I128" s="8"/>
      <c r="J128" s="8"/>
      <c r="K128" s="29"/>
      <c r="L128" s="29"/>
      <c r="M128" s="29"/>
    </row>
    <row r="129" spans="1:13" ht="16.25" customHeight="1" x14ac:dyDescent="0.2">
      <c r="A129" s="7">
        <v>45965</v>
      </c>
      <c r="B129" s="61">
        <v>1</v>
      </c>
      <c r="C129" s="60"/>
      <c r="D129" s="60"/>
      <c r="E129" s="76" t="s">
        <v>320</v>
      </c>
      <c r="F129" s="76"/>
      <c r="G129" s="21"/>
      <c r="H129" s="27">
        <f>1+SUM(H120:H126)</f>
        <v>12</v>
      </c>
      <c r="I129" s="5"/>
      <c r="J129" s="5"/>
      <c r="K129" s="29"/>
      <c r="L129" s="29"/>
      <c r="M129" s="29"/>
    </row>
    <row r="130" spans="1:13" ht="16.25" customHeight="1" x14ac:dyDescent="0.2">
      <c r="A130" s="7">
        <v>45966</v>
      </c>
      <c r="B130" s="61">
        <v>2</v>
      </c>
      <c r="C130" s="60"/>
      <c r="D130" s="60"/>
      <c r="E130" s="76" t="s">
        <v>320</v>
      </c>
      <c r="F130" s="76"/>
      <c r="G130" s="21"/>
      <c r="H130" s="27"/>
      <c r="I130" s="5"/>
      <c r="J130" s="5"/>
      <c r="K130" s="29"/>
      <c r="L130" s="29"/>
      <c r="M130" s="29"/>
    </row>
    <row r="131" spans="1:13" ht="16.25" customHeight="1" x14ac:dyDescent="0.2">
      <c r="A131" s="7">
        <v>45967</v>
      </c>
      <c r="B131" s="61">
        <v>3</v>
      </c>
      <c r="C131" s="60"/>
      <c r="D131" s="60"/>
      <c r="E131" s="76" t="s">
        <v>320</v>
      </c>
      <c r="F131" s="76"/>
      <c r="G131" s="21"/>
      <c r="H131" s="27"/>
      <c r="I131" s="5"/>
      <c r="J131" s="5"/>
      <c r="K131" s="29"/>
      <c r="L131" s="29"/>
      <c r="M131" s="29"/>
    </row>
    <row r="132" spans="1:13" ht="16.25" customHeight="1" x14ac:dyDescent="0.2">
      <c r="A132" s="7">
        <v>45968</v>
      </c>
      <c r="B132" s="61">
        <v>4</v>
      </c>
      <c r="C132" s="60"/>
      <c r="D132" s="60"/>
      <c r="E132" s="76" t="s">
        <v>320</v>
      </c>
      <c r="F132" s="76"/>
      <c r="G132" s="21"/>
      <c r="H132" s="27"/>
      <c r="I132" s="5"/>
      <c r="J132" s="5"/>
      <c r="K132" s="29"/>
      <c r="L132" s="29"/>
      <c r="M132" s="29"/>
    </row>
    <row r="133" spans="1:13" ht="16.25" customHeight="1" x14ac:dyDescent="0.2">
      <c r="A133" s="10">
        <v>45969</v>
      </c>
      <c r="B133" s="56" t="s">
        <v>20</v>
      </c>
      <c r="C133" s="57"/>
      <c r="D133" s="57"/>
      <c r="E133" s="74"/>
      <c r="F133" s="74"/>
      <c r="G133" s="20"/>
      <c r="H133" s="26"/>
      <c r="I133" s="8"/>
      <c r="J133" s="8"/>
      <c r="K133" s="29"/>
      <c r="L133" s="29"/>
      <c r="M133" s="29"/>
    </row>
    <row r="134" spans="1:13" ht="16.25" customHeight="1" x14ac:dyDescent="0.2">
      <c r="A134" s="10">
        <v>45970</v>
      </c>
      <c r="B134" s="56" t="s">
        <v>20</v>
      </c>
      <c r="C134" s="57"/>
      <c r="D134" s="57"/>
      <c r="E134" s="74"/>
      <c r="F134" s="74"/>
      <c r="G134" s="20"/>
      <c r="H134" s="26"/>
      <c r="I134" s="8"/>
      <c r="J134" s="8"/>
      <c r="K134" s="29"/>
      <c r="L134" s="29"/>
      <c r="M134" s="29"/>
    </row>
    <row r="135" spans="1:13" ht="16.25" customHeight="1" x14ac:dyDescent="0.2">
      <c r="A135" s="7">
        <v>45971</v>
      </c>
      <c r="B135" s="61">
        <v>5</v>
      </c>
      <c r="C135" s="60"/>
      <c r="D135" s="60"/>
      <c r="E135" s="76" t="s">
        <v>320</v>
      </c>
      <c r="F135" s="76"/>
      <c r="G135" s="21"/>
      <c r="H135" s="27">
        <f>1+SUM(H126:H132)</f>
        <v>13</v>
      </c>
      <c r="I135" s="5"/>
      <c r="J135" s="5"/>
      <c r="K135" s="29"/>
      <c r="L135" s="29"/>
      <c r="M135" s="29"/>
    </row>
    <row r="136" spans="1:13" ht="16.25" customHeight="1" x14ac:dyDescent="0.2">
      <c r="A136" s="7">
        <v>45972</v>
      </c>
      <c r="B136" s="61">
        <v>6</v>
      </c>
      <c r="C136" s="60"/>
      <c r="D136" s="60"/>
      <c r="E136" s="76" t="s">
        <v>320</v>
      </c>
      <c r="F136" s="76"/>
      <c r="G136" s="21">
        <v>9</v>
      </c>
      <c r="H136" s="27"/>
      <c r="I136" s="5"/>
      <c r="J136" s="5"/>
      <c r="K136" s="29"/>
      <c r="L136" s="29"/>
      <c r="M136" s="29"/>
    </row>
    <row r="137" spans="1:13" ht="16.25" customHeight="1" x14ac:dyDescent="0.2">
      <c r="A137" s="7">
        <v>45973</v>
      </c>
      <c r="B137" s="61">
        <v>1</v>
      </c>
      <c r="C137" s="60"/>
      <c r="D137" s="60"/>
      <c r="E137" s="76"/>
      <c r="F137" s="76"/>
      <c r="G137" s="21"/>
      <c r="H137" s="27"/>
      <c r="I137" s="5"/>
      <c r="J137" s="5"/>
      <c r="K137" s="29"/>
      <c r="L137" s="29"/>
      <c r="M137" s="29"/>
    </row>
    <row r="138" spans="1:13" ht="16.25" customHeight="1" x14ac:dyDescent="0.2">
      <c r="A138" s="7">
        <v>45974</v>
      </c>
      <c r="B138" s="61">
        <v>2</v>
      </c>
      <c r="C138" s="60"/>
      <c r="D138" s="60"/>
      <c r="E138" s="76"/>
      <c r="F138" s="76"/>
      <c r="G138" s="21"/>
      <c r="H138" s="27"/>
      <c r="I138" s="5"/>
      <c r="J138" s="5"/>
      <c r="K138" s="29"/>
      <c r="L138" s="29"/>
      <c r="M138" s="29"/>
    </row>
    <row r="139" spans="1:13" ht="16.25" customHeight="1" x14ac:dyDescent="0.2">
      <c r="A139" s="7">
        <v>45975</v>
      </c>
      <c r="B139" s="61">
        <v>3</v>
      </c>
      <c r="C139" s="60"/>
      <c r="D139" s="60"/>
      <c r="E139" s="76" t="s">
        <v>321</v>
      </c>
      <c r="F139" s="76"/>
      <c r="G139" s="21"/>
      <c r="H139" s="27"/>
      <c r="I139" s="5"/>
      <c r="J139" s="5"/>
      <c r="K139" s="29" t="s">
        <v>65</v>
      </c>
      <c r="L139" s="29"/>
      <c r="M139" s="29"/>
    </row>
    <row r="140" spans="1:13" ht="16.25" customHeight="1" x14ac:dyDescent="0.2">
      <c r="A140" s="10">
        <v>45976</v>
      </c>
      <c r="B140" s="56" t="s">
        <v>20</v>
      </c>
      <c r="C140" s="57"/>
      <c r="D140" s="57"/>
      <c r="E140" s="74"/>
      <c r="F140" s="74"/>
      <c r="G140" s="20"/>
      <c r="H140" s="26"/>
      <c r="I140" s="8"/>
      <c r="J140" s="8"/>
      <c r="K140" s="29"/>
      <c r="L140" s="29"/>
      <c r="M140" s="29"/>
    </row>
    <row r="141" spans="1:13" ht="16.25" customHeight="1" x14ac:dyDescent="0.2">
      <c r="A141" s="10">
        <v>45977</v>
      </c>
      <c r="B141" s="56" t="s">
        <v>20</v>
      </c>
      <c r="C141" s="57"/>
      <c r="D141" s="57"/>
      <c r="E141" s="74"/>
      <c r="F141" s="74"/>
      <c r="G141" s="20"/>
      <c r="H141" s="26"/>
      <c r="I141" s="8"/>
      <c r="J141" s="8"/>
      <c r="K141" s="29"/>
      <c r="L141" s="29"/>
      <c r="M141" s="29"/>
    </row>
    <row r="142" spans="1:13" ht="16.25" customHeight="1" x14ac:dyDescent="0.2">
      <c r="A142" s="10">
        <v>45978</v>
      </c>
      <c r="B142" s="56" t="s">
        <v>17</v>
      </c>
      <c r="C142" s="57"/>
      <c r="D142" s="57"/>
      <c r="E142" s="74"/>
      <c r="F142" s="74"/>
      <c r="G142" s="20"/>
      <c r="H142" s="26"/>
      <c r="I142" s="8"/>
      <c r="J142" s="8"/>
      <c r="K142" s="29"/>
      <c r="L142" s="29"/>
      <c r="M142" s="29"/>
    </row>
    <row r="143" spans="1:13" ht="16.25" customHeight="1" x14ac:dyDescent="0.2">
      <c r="A143" s="7">
        <v>45979</v>
      </c>
      <c r="B143" s="61">
        <v>4</v>
      </c>
      <c r="C143" s="60"/>
      <c r="D143" s="60"/>
      <c r="E143" s="76"/>
      <c r="F143" s="76"/>
      <c r="G143" s="21"/>
      <c r="H143" s="27">
        <f>1+SUM(H134:H140)</f>
        <v>14</v>
      </c>
      <c r="I143" s="5"/>
      <c r="J143" s="5"/>
      <c r="K143" s="29"/>
      <c r="L143" s="29"/>
      <c r="M143" s="29"/>
    </row>
    <row r="144" spans="1:13" ht="16.25" customHeight="1" x14ac:dyDescent="0.2">
      <c r="A144" s="7">
        <v>45980</v>
      </c>
      <c r="B144" s="61">
        <v>5</v>
      </c>
      <c r="C144" s="60"/>
      <c r="D144" s="60"/>
      <c r="E144" s="76"/>
      <c r="F144" s="76"/>
      <c r="G144" s="21"/>
      <c r="H144" s="27"/>
      <c r="I144" s="5"/>
      <c r="J144" s="5"/>
      <c r="K144" s="29"/>
      <c r="L144" s="29"/>
      <c r="M144" s="29"/>
    </row>
    <row r="145" spans="1:13" ht="16.25" customHeight="1" x14ac:dyDescent="0.2">
      <c r="A145" s="7">
        <v>45981</v>
      </c>
      <c r="B145" s="61">
        <v>6</v>
      </c>
      <c r="C145" s="60"/>
      <c r="D145" s="60"/>
      <c r="E145" s="76"/>
      <c r="F145" s="76"/>
      <c r="G145" s="21">
        <v>10</v>
      </c>
      <c r="H145" s="27"/>
      <c r="I145" s="5"/>
      <c r="J145" s="5"/>
      <c r="K145" s="29"/>
      <c r="L145" s="29"/>
      <c r="M145" s="29"/>
    </row>
    <row r="146" spans="1:13" ht="16.25" customHeight="1" x14ac:dyDescent="0.2">
      <c r="A146" s="7">
        <v>45982</v>
      </c>
      <c r="B146" s="61">
        <v>1</v>
      </c>
      <c r="C146" s="60"/>
      <c r="D146" s="60"/>
      <c r="E146" s="76"/>
      <c r="F146" s="76"/>
      <c r="G146" s="21"/>
      <c r="H146" s="27"/>
      <c r="I146" s="5"/>
      <c r="J146" s="5"/>
      <c r="K146" s="29"/>
      <c r="L146" s="29"/>
      <c r="M146" s="29"/>
    </row>
    <row r="147" spans="1:13" ht="16.25" customHeight="1" x14ac:dyDescent="0.2">
      <c r="A147" s="10">
        <v>45983</v>
      </c>
      <c r="B147" s="56" t="s">
        <v>20</v>
      </c>
      <c r="C147" s="57"/>
      <c r="D147" s="57"/>
      <c r="E147" s="74"/>
      <c r="F147" s="74"/>
      <c r="G147" s="20"/>
      <c r="H147" s="26"/>
      <c r="I147" s="8"/>
      <c r="J147" s="8"/>
      <c r="K147" s="29"/>
      <c r="L147" s="29"/>
      <c r="M147" s="29"/>
    </row>
    <row r="148" spans="1:13" ht="16.25" customHeight="1" x14ac:dyDescent="0.2">
      <c r="A148" s="10">
        <v>45984</v>
      </c>
      <c r="B148" s="56" t="s">
        <v>20</v>
      </c>
      <c r="C148" s="57"/>
      <c r="D148" s="57"/>
      <c r="E148" s="74"/>
      <c r="F148" s="74"/>
      <c r="G148" s="20"/>
      <c r="H148" s="26"/>
      <c r="I148" s="8"/>
      <c r="J148" s="8"/>
      <c r="K148" s="29"/>
      <c r="L148" s="29"/>
      <c r="M148" s="29"/>
    </row>
    <row r="149" spans="1:13" ht="16.25" customHeight="1" x14ac:dyDescent="0.2">
      <c r="A149" s="7">
        <v>45985</v>
      </c>
      <c r="B149" s="61">
        <v>2</v>
      </c>
      <c r="C149" s="60"/>
      <c r="D149" s="60"/>
      <c r="E149" s="76" t="s">
        <v>322</v>
      </c>
      <c r="F149" s="76"/>
      <c r="G149" s="21"/>
      <c r="H149" s="27">
        <f>1+SUM(H140:H146)</f>
        <v>15</v>
      </c>
      <c r="I149" s="5"/>
      <c r="J149" s="5"/>
      <c r="K149" s="29"/>
      <c r="L149" s="29"/>
      <c r="M149" s="29"/>
    </row>
    <row r="150" spans="1:13" ht="16.25" customHeight="1" x14ac:dyDescent="0.2">
      <c r="A150" s="7">
        <v>45986</v>
      </c>
      <c r="B150" s="61">
        <v>3</v>
      </c>
      <c r="C150" s="60"/>
      <c r="D150" s="60"/>
      <c r="E150" s="76" t="s">
        <v>323</v>
      </c>
      <c r="F150" s="76"/>
      <c r="G150" s="21"/>
      <c r="H150" s="27"/>
      <c r="I150" s="5"/>
      <c r="J150" s="5"/>
      <c r="K150" s="29"/>
      <c r="L150" s="29"/>
      <c r="M150" s="29"/>
    </row>
    <row r="151" spans="1:13" ht="16.25" customHeight="1" x14ac:dyDescent="0.2">
      <c r="A151" s="7">
        <v>45987</v>
      </c>
      <c r="B151" s="61">
        <v>4</v>
      </c>
      <c r="C151" s="60"/>
      <c r="D151" s="60"/>
      <c r="E151" s="81"/>
      <c r="F151" s="76"/>
      <c r="G151" s="21"/>
      <c r="H151" s="27"/>
      <c r="I151" s="5"/>
      <c r="J151" s="5"/>
      <c r="K151" s="29"/>
      <c r="L151" s="29"/>
      <c r="M151" s="29"/>
    </row>
    <row r="152" spans="1:13" ht="16.25" customHeight="1" x14ac:dyDescent="0.2">
      <c r="A152" s="7">
        <v>45988</v>
      </c>
      <c r="B152" s="61">
        <v>5</v>
      </c>
      <c r="C152" s="60"/>
      <c r="D152" s="60"/>
      <c r="E152" s="76"/>
      <c r="F152" s="76"/>
      <c r="G152" s="21"/>
      <c r="H152" s="27"/>
      <c r="I152" s="5"/>
      <c r="J152" s="5"/>
      <c r="K152" s="29"/>
      <c r="L152" s="29"/>
      <c r="M152" s="29"/>
    </row>
    <row r="153" spans="1:13" ht="16.25" customHeight="1" x14ac:dyDescent="0.2">
      <c r="A153" s="7">
        <v>45989</v>
      </c>
      <c r="B153" s="58" t="s">
        <v>51</v>
      </c>
      <c r="C153" s="60" t="s">
        <v>162</v>
      </c>
      <c r="D153" s="60"/>
      <c r="E153" s="76"/>
      <c r="F153" s="76"/>
      <c r="G153" s="21"/>
      <c r="H153" s="27"/>
      <c r="I153" s="5"/>
      <c r="J153" s="5"/>
      <c r="K153" s="29"/>
      <c r="L153" s="29"/>
      <c r="M153" s="29"/>
    </row>
    <row r="154" spans="1:13" ht="16.25" customHeight="1" x14ac:dyDescent="0.2">
      <c r="A154" s="10">
        <v>45990</v>
      </c>
      <c r="B154" s="56" t="s">
        <v>20</v>
      </c>
      <c r="C154" s="57"/>
      <c r="D154" s="57"/>
      <c r="E154" s="74"/>
      <c r="F154" s="74"/>
      <c r="G154" s="20"/>
      <c r="H154" s="26"/>
      <c r="I154" s="8"/>
      <c r="J154" s="8"/>
      <c r="K154" s="29"/>
      <c r="L154" s="29"/>
      <c r="M154" s="29"/>
    </row>
    <row r="155" spans="1:13" ht="16.25" customHeight="1" x14ac:dyDescent="0.2">
      <c r="A155" s="10">
        <v>45991</v>
      </c>
      <c r="B155" s="56" t="s">
        <v>20</v>
      </c>
      <c r="C155" s="57"/>
      <c r="D155" s="57"/>
      <c r="E155" s="74"/>
      <c r="F155" s="74"/>
      <c r="G155" s="20"/>
      <c r="H155" s="26"/>
      <c r="I155" s="8"/>
      <c r="J155" s="8"/>
      <c r="K155" s="29"/>
      <c r="L155" s="29"/>
      <c r="M155" s="29"/>
    </row>
    <row r="156" spans="1:13" ht="16.25" customHeight="1" x14ac:dyDescent="0.2">
      <c r="A156" s="7">
        <v>45992</v>
      </c>
      <c r="B156" s="61">
        <v>6</v>
      </c>
      <c r="C156" s="60"/>
      <c r="D156" s="60"/>
      <c r="E156" s="76"/>
      <c r="F156" s="76"/>
      <c r="G156" s="21">
        <v>11</v>
      </c>
      <c r="H156" s="27">
        <f>1+SUM(H147:H153)</f>
        <v>16</v>
      </c>
      <c r="I156" s="5"/>
      <c r="J156" s="5"/>
      <c r="K156" s="29"/>
      <c r="L156" s="29"/>
      <c r="M156" s="29"/>
    </row>
    <row r="157" spans="1:13" ht="16.25" customHeight="1" x14ac:dyDescent="0.2">
      <c r="A157" s="7">
        <v>45993</v>
      </c>
      <c r="B157" s="61">
        <v>1</v>
      </c>
      <c r="C157" s="60"/>
      <c r="D157" s="60"/>
      <c r="E157" s="76"/>
      <c r="F157" s="76"/>
      <c r="G157" s="21"/>
      <c r="H157" s="27"/>
      <c r="I157" s="5"/>
      <c r="J157" s="5"/>
      <c r="K157" s="29"/>
      <c r="L157" s="29"/>
      <c r="M157" s="29"/>
    </row>
    <row r="158" spans="1:13" ht="16.25" customHeight="1" x14ac:dyDescent="0.2">
      <c r="A158" s="7">
        <v>45994</v>
      </c>
      <c r="B158" s="61">
        <v>2</v>
      </c>
      <c r="C158" s="60" t="s">
        <v>77</v>
      </c>
      <c r="D158" s="60"/>
      <c r="E158" s="76" t="s">
        <v>284</v>
      </c>
      <c r="F158" s="76"/>
      <c r="G158" s="21"/>
      <c r="H158" s="27"/>
      <c r="I158" s="5"/>
      <c r="J158" s="5"/>
      <c r="K158" s="29"/>
      <c r="L158" s="29"/>
      <c r="M158" s="29"/>
    </row>
    <row r="159" spans="1:13" ht="16.25" customHeight="1" x14ac:dyDescent="0.2">
      <c r="A159" s="7">
        <v>45995</v>
      </c>
      <c r="B159" s="61">
        <v>3</v>
      </c>
      <c r="C159" s="60" t="s">
        <v>77</v>
      </c>
      <c r="D159" s="60"/>
      <c r="E159" s="83" t="s">
        <v>33</v>
      </c>
      <c r="F159" s="76"/>
      <c r="G159" s="21"/>
      <c r="H159" s="27"/>
      <c r="I159" s="5"/>
      <c r="J159" s="5"/>
      <c r="K159" s="29"/>
      <c r="L159" s="29"/>
      <c r="M159" s="29"/>
    </row>
    <row r="160" spans="1:13" ht="16.25" customHeight="1" x14ac:dyDescent="0.2">
      <c r="A160" s="7">
        <v>45996</v>
      </c>
      <c r="B160" s="61">
        <v>4</v>
      </c>
      <c r="C160" s="60" t="s">
        <v>77</v>
      </c>
      <c r="D160" s="60"/>
      <c r="E160" s="83" t="s">
        <v>33</v>
      </c>
      <c r="F160" s="76"/>
      <c r="G160" s="21"/>
      <c r="H160" s="27"/>
      <c r="I160" s="5"/>
      <c r="J160" s="5"/>
      <c r="K160" s="29"/>
      <c r="L160" s="29"/>
      <c r="M160" s="29"/>
    </row>
    <row r="161" spans="1:13" ht="16.25" customHeight="1" x14ac:dyDescent="0.2">
      <c r="A161" s="10">
        <v>45997</v>
      </c>
      <c r="B161" s="56" t="s">
        <v>20</v>
      </c>
      <c r="C161" s="57"/>
      <c r="D161" s="57"/>
      <c r="E161" s="74"/>
      <c r="F161" s="74"/>
      <c r="G161" s="20"/>
      <c r="H161" s="26"/>
      <c r="I161" s="8"/>
      <c r="J161" s="8"/>
      <c r="K161" s="29"/>
      <c r="L161" s="29"/>
      <c r="M161" s="29"/>
    </row>
    <row r="162" spans="1:13" ht="16.25" customHeight="1" x14ac:dyDescent="0.2">
      <c r="A162" s="10">
        <v>45998</v>
      </c>
      <c r="B162" s="56" t="s">
        <v>20</v>
      </c>
      <c r="C162" s="57"/>
      <c r="D162" s="57"/>
      <c r="E162" s="74"/>
      <c r="F162" s="74"/>
      <c r="G162" s="20"/>
      <c r="H162" s="26"/>
      <c r="I162" s="8"/>
      <c r="J162" s="8"/>
      <c r="K162" s="29"/>
      <c r="L162" s="29"/>
      <c r="M162" s="29"/>
    </row>
    <row r="163" spans="1:13" ht="16.25" customHeight="1" x14ac:dyDescent="0.2">
      <c r="A163" s="10">
        <v>45999</v>
      </c>
      <c r="B163" s="56" t="s">
        <v>17</v>
      </c>
      <c r="C163" s="57"/>
      <c r="D163" s="57"/>
      <c r="E163" s="74"/>
      <c r="F163" s="74"/>
      <c r="G163" s="20"/>
      <c r="H163" s="26"/>
      <c r="I163" s="8"/>
      <c r="J163" s="8"/>
      <c r="K163" s="29"/>
      <c r="L163" s="29"/>
      <c r="M163" s="29"/>
    </row>
    <row r="164" spans="1:13" ht="16.25" customHeight="1" x14ac:dyDescent="0.2">
      <c r="A164" s="7">
        <v>46000</v>
      </c>
      <c r="B164" s="61">
        <v>5</v>
      </c>
      <c r="C164" s="60" t="s">
        <v>77</v>
      </c>
      <c r="D164" s="60"/>
      <c r="E164" s="83" t="s">
        <v>33</v>
      </c>
      <c r="F164" s="76"/>
      <c r="G164" s="21"/>
      <c r="H164" s="27">
        <f>1+SUM(H155:H161)</f>
        <v>17</v>
      </c>
      <c r="I164" s="5"/>
      <c r="J164" s="5"/>
      <c r="K164" s="29"/>
      <c r="L164" s="29"/>
      <c r="M164" s="29"/>
    </row>
    <row r="165" spans="1:13" ht="16.25" customHeight="1" x14ac:dyDescent="0.2">
      <c r="A165" s="7">
        <v>46001</v>
      </c>
      <c r="B165" s="61">
        <v>6</v>
      </c>
      <c r="C165" s="60" t="s">
        <v>77</v>
      </c>
      <c r="D165" s="60"/>
      <c r="E165" s="83" t="s">
        <v>299</v>
      </c>
      <c r="F165" s="76"/>
      <c r="G165" s="21">
        <v>12</v>
      </c>
      <c r="H165" s="27"/>
      <c r="I165" s="5"/>
      <c r="J165" s="5"/>
      <c r="K165" s="29"/>
      <c r="L165" s="29"/>
      <c r="M165" s="29"/>
    </row>
    <row r="166" spans="1:13" ht="16.25" customHeight="1" x14ac:dyDescent="0.2">
      <c r="A166" s="7">
        <v>46002</v>
      </c>
      <c r="B166" s="61">
        <v>1</v>
      </c>
      <c r="C166" s="60" t="s">
        <v>77</v>
      </c>
      <c r="D166" s="60"/>
      <c r="E166" s="76"/>
      <c r="F166" s="76"/>
      <c r="G166" s="21"/>
      <c r="H166" s="27"/>
      <c r="I166" s="5"/>
      <c r="J166" s="5"/>
      <c r="K166" s="29"/>
      <c r="L166" s="29" t="s">
        <v>79</v>
      </c>
      <c r="M166" s="29"/>
    </row>
    <row r="167" spans="1:13" ht="16.25" customHeight="1" x14ac:dyDescent="0.2">
      <c r="A167" s="7">
        <v>46003</v>
      </c>
      <c r="B167" s="61">
        <v>2</v>
      </c>
      <c r="C167" s="60" t="s">
        <v>77</v>
      </c>
      <c r="D167" s="60"/>
      <c r="E167" s="76"/>
      <c r="F167" s="76"/>
      <c r="G167" s="21"/>
      <c r="H167" s="27"/>
      <c r="I167" s="5"/>
      <c r="J167" s="5"/>
      <c r="K167" s="29"/>
      <c r="L167" s="29" t="s">
        <v>80</v>
      </c>
      <c r="M167" s="29"/>
    </row>
    <row r="168" spans="1:13" ht="16.25" customHeight="1" x14ac:dyDescent="0.2">
      <c r="A168" s="10">
        <v>46004</v>
      </c>
      <c r="B168" s="56" t="s">
        <v>20</v>
      </c>
      <c r="C168" s="57"/>
      <c r="D168" s="57"/>
      <c r="E168" s="74"/>
      <c r="F168" s="74"/>
      <c r="G168" s="20"/>
      <c r="H168" s="26"/>
      <c r="I168" s="8"/>
      <c r="J168" s="8"/>
      <c r="K168" s="29" t="s">
        <v>81</v>
      </c>
      <c r="L168" s="29" t="s">
        <v>81</v>
      </c>
      <c r="M168" s="29" t="s">
        <v>81</v>
      </c>
    </row>
    <row r="169" spans="1:13" ht="16.25" customHeight="1" x14ac:dyDescent="0.2">
      <c r="A169" s="10">
        <v>46005</v>
      </c>
      <c r="B169" s="56" t="s">
        <v>20</v>
      </c>
      <c r="C169" s="57"/>
      <c r="D169" s="57"/>
      <c r="E169" s="74"/>
      <c r="F169" s="74"/>
      <c r="G169" s="20"/>
      <c r="H169" s="26"/>
      <c r="I169" s="8"/>
      <c r="J169" s="8"/>
      <c r="K169" s="29" t="s">
        <v>81</v>
      </c>
      <c r="L169" s="29" t="s">
        <v>81</v>
      </c>
      <c r="M169" s="29" t="s">
        <v>81</v>
      </c>
    </row>
    <row r="170" spans="1:13" ht="16.25" customHeight="1" x14ac:dyDescent="0.2">
      <c r="A170" s="7">
        <v>46006</v>
      </c>
      <c r="B170" s="58" t="s">
        <v>51</v>
      </c>
      <c r="C170" s="60" t="s">
        <v>82</v>
      </c>
      <c r="D170" s="60"/>
      <c r="E170" s="76"/>
      <c r="F170" s="76"/>
      <c r="G170" s="21"/>
      <c r="H170" s="27">
        <f>1+SUM(H161:H167)</f>
        <v>18</v>
      </c>
      <c r="I170" s="5"/>
      <c r="J170" s="5"/>
      <c r="K170" s="29" t="s">
        <v>81</v>
      </c>
      <c r="L170" s="29" t="s">
        <v>81</v>
      </c>
      <c r="M170" s="29" t="s">
        <v>81</v>
      </c>
    </row>
    <row r="171" spans="1:13" ht="16.25" customHeight="1" x14ac:dyDescent="0.2">
      <c r="A171" s="37">
        <v>46007</v>
      </c>
      <c r="B171" s="68" t="s">
        <v>51</v>
      </c>
      <c r="C171" s="63" t="s">
        <v>83</v>
      </c>
      <c r="D171" s="63"/>
      <c r="E171" s="78"/>
      <c r="F171" s="78"/>
      <c r="G171" s="40"/>
      <c r="H171" s="41"/>
      <c r="I171" s="42"/>
      <c r="J171" s="42"/>
      <c r="K171" s="43" t="s">
        <v>81</v>
      </c>
      <c r="L171" s="43" t="s">
        <v>81</v>
      </c>
      <c r="M171" s="43" t="s">
        <v>81</v>
      </c>
    </row>
    <row r="172" spans="1:13" ht="16.25" customHeight="1" x14ac:dyDescent="0.2">
      <c r="A172" s="10">
        <v>46008</v>
      </c>
      <c r="B172" s="56" t="s">
        <v>84</v>
      </c>
      <c r="C172" s="57"/>
      <c r="D172" s="57"/>
      <c r="E172" s="74"/>
      <c r="F172" s="74"/>
      <c r="G172" s="20"/>
      <c r="H172" s="26"/>
      <c r="I172" s="8"/>
      <c r="J172" s="8"/>
      <c r="K172" s="29" t="s">
        <v>81</v>
      </c>
      <c r="L172" s="29" t="s">
        <v>81</v>
      </c>
      <c r="M172" s="29" t="s">
        <v>81</v>
      </c>
    </row>
    <row r="173" spans="1:13" ht="16.25" customHeight="1" x14ac:dyDescent="0.2">
      <c r="A173" s="10">
        <v>46009</v>
      </c>
      <c r="B173" s="56" t="s">
        <v>84</v>
      </c>
      <c r="C173" s="57"/>
      <c r="D173" s="57"/>
      <c r="E173" s="74"/>
      <c r="F173" s="74"/>
      <c r="G173" s="20"/>
      <c r="H173" s="26"/>
      <c r="I173" s="8"/>
      <c r="J173" s="8"/>
      <c r="K173" s="29" t="s">
        <v>81</v>
      </c>
      <c r="L173" s="29" t="s">
        <v>81</v>
      </c>
      <c r="M173" s="29" t="s">
        <v>81</v>
      </c>
    </row>
    <row r="174" spans="1:13" ht="16.25" customHeight="1" x14ac:dyDescent="0.2">
      <c r="A174" s="10">
        <v>46010</v>
      </c>
      <c r="B174" s="56" t="s">
        <v>84</v>
      </c>
      <c r="C174" s="57"/>
      <c r="D174" s="57"/>
      <c r="E174" s="74"/>
      <c r="F174" s="74"/>
      <c r="G174" s="20"/>
      <c r="H174" s="26"/>
      <c r="I174" s="8"/>
      <c r="J174" s="8"/>
      <c r="K174" s="29" t="s">
        <v>81</v>
      </c>
      <c r="L174" s="29" t="s">
        <v>81</v>
      </c>
      <c r="M174" s="29" t="s">
        <v>81</v>
      </c>
    </row>
    <row r="175" spans="1:13" ht="16.25" customHeight="1" x14ac:dyDescent="0.2">
      <c r="A175" s="10">
        <v>46011</v>
      </c>
      <c r="B175" s="56" t="s">
        <v>20</v>
      </c>
      <c r="C175" s="57"/>
      <c r="D175" s="57"/>
      <c r="E175" s="74"/>
      <c r="F175" s="74"/>
      <c r="G175" s="20"/>
      <c r="H175" s="26"/>
      <c r="I175" s="8"/>
      <c r="J175" s="8"/>
      <c r="K175" s="29" t="s">
        <v>81</v>
      </c>
      <c r="L175" s="29" t="s">
        <v>81</v>
      </c>
      <c r="M175" s="29" t="s">
        <v>81</v>
      </c>
    </row>
    <row r="176" spans="1:13" ht="16.25" customHeight="1" x14ac:dyDescent="0.2">
      <c r="A176" s="10">
        <v>46012</v>
      </c>
      <c r="B176" s="56" t="s">
        <v>20</v>
      </c>
      <c r="C176" s="57"/>
      <c r="D176" s="57"/>
      <c r="E176" s="74"/>
      <c r="F176" s="74"/>
      <c r="G176" s="20"/>
      <c r="H176" s="26"/>
      <c r="I176" s="8"/>
      <c r="J176" s="8"/>
      <c r="K176" s="29" t="s">
        <v>81</v>
      </c>
      <c r="L176" s="29" t="s">
        <v>81</v>
      </c>
      <c r="M176" s="29" t="s">
        <v>81</v>
      </c>
    </row>
    <row r="177" spans="1:13" ht="16.25" customHeight="1" x14ac:dyDescent="0.2">
      <c r="A177" s="10">
        <v>46013</v>
      </c>
      <c r="B177" s="56" t="s">
        <v>84</v>
      </c>
      <c r="C177" s="57"/>
      <c r="D177" s="57"/>
      <c r="E177" s="74"/>
      <c r="F177" s="74"/>
      <c r="G177" s="20"/>
      <c r="H177" s="26"/>
      <c r="I177" s="8"/>
      <c r="J177" s="8"/>
      <c r="K177" s="29" t="s">
        <v>81</v>
      </c>
      <c r="L177" s="29" t="s">
        <v>81</v>
      </c>
      <c r="M177" s="29" t="s">
        <v>81</v>
      </c>
    </row>
    <row r="178" spans="1:13" ht="16.25" customHeight="1" x14ac:dyDescent="0.2">
      <c r="A178" s="10">
        <v>46014</v>
      </c>
      <c r="B178" s="56" t="s">
        <v>84</v>
      </c>
      <c r="C178" s="57"/>
      <c r="D178" s="57"/>
      <c r="E178" s="74"/>
      <c r="F178" s="74"/>
      <c r="G178" s="20"/>
      <c r="H178" s="26"/>
      <c r="I178" s="8"/>
      <c r="J178" s="8"/>
      <c r="K178" s="29" t="s">
        <v>81</v>
      </c>
      <c r="L178" s="29" t="s">
        <v>81</v>
      </c>
      <c r="M178" s="29" t="s">
        <v>81</v>
      </c>
    </row>
    <row r="179" spans="1:13" ht="16.25" customHeight="1" x14ac:dyDescent="0.2">
      <c r="A179" s="10">
        <v>46015</v>
      </c>
      <c r="B179" s="56" t="s">
        <v>84</v>
      </c>
      <c r="C179" s="57"/>
      <c r="D179" s="57"/>
      <c r="E179" s="74"/>
      <c r="F179" s="74"/>
      <c r="G179" s="20"/>
      <c r="H179" s="26"/>
      <c r="I179" s="8"/>
      <c r="J179" s="8"/>
      <c r="K179" s="29" t="s">
        <v>81</v>
      </c>
      <c r="L179" s="29" t="s">
        <v>81</v>
      </c>
      <c r="M179" s="29" t="s">
        <v>81</v>
      </c>
    </row>
    <row r="180" spans="1:13" ht="16.25" customHeight="1" x14ac:dyDescent="0.2">
      <c r="A180" s="10">
        <v>46016</v>
      </c>
      <c r="B180" s="56" t="s">
        <v>17</v>
      </c>
      <c r="C180" s="57"/>
      <c r="D180" s="57"/>
      <c r="E180" s="74"/>
      <c r="F180" s="74"/>
      <c r="G180" s="20"/>
      <c r="H180" s="26"/>
      <c r="I180" s="8"/>
      <c r="J180" s="8"/>
      <c r="K180" s="29" t="s">
        <v>81</v>
      </c>
      <c r="L180" s="29" t="s">
        <v>81</v>
      </c>
      <c r="M180" s="29" t="s">
        <v>81</v>
      </c>
    </row>
    <row r="181" spans="1:13" ht="16.25" customHeight="1" x14ac:dyDescent="0.2">
      <c r="A181" s="10">
        <v>46017</v>
      </c>
      <c r="B181" s="56" t="s">
        <v>84</v>
      </c>
      <c r="C181" s="57"/>
      <c r="D181" s="57"/>
      <c r="E181" s="74"/>
      <c r="F181" s="74"/>
      <c r="G181" s="20"/>
      <c r="H181" s="26"/>
      <c r="I181" s="8"/>
      <c r="J181" s="8"/>
      <c r="K181" s="29" t="s">
        <v>81</v>
      </c>
      <c r="L181" s="29" t="s">
        <v>81</v>
      </c>
      <c r="M181" s="29" t="s">
        <v>81</v>
      </c>
    </row>
    <row r="182" spans="1:13" ht="16.25" customHeight="1" x14ac:dyDescent="0.2">
      <c r="A182" s="10">
        <v>46018</v>
      </c>
      <c r="B182" s="56" t="s">
        <v>20</v>
      </c>
      <c r="C182" s="57"/>
      <c r="D182" s="57"/>
      <c r="E182" s="74"/>
      <c r="F182" s="74"/>
      <c r="G182" s="20"/>
      <c r="H182" s="26"/>
      <c r="I182" s="8"/>
      <c r="J182" s="8"/>
      <c r="K182" s="29" t="s">
        <v>81</v>
      </c>
      <c r="L182" s="29" t="s">
        <v>81</v>
      </c>
      <c r="M182" s="29" t="s">
        <v>81</v>
      </c>
    </row>
    <row r="183" spans="1:13" ht="16.25" customHeight="1" x14ac:dyDescent="0.2">
      <c r="A183" s="10">
        <v>46019</v>
      </c>
      <c r="B183" s="56" t="s">
        <v>20</v>
      </c>
      <c r="C183" s="57"/>
      <c r="D183" s="57"/>
      <c r="E183" s="74"/>
      <c r="F183" s="74"/>
      <c r="G183" s="20"/>
      <c r="H183" s="26"/>
      <c r="I183" s="8"/>
      <c r="J183" s="8"/>
      <c r="K183" s="29" t="s">
        <v>81</v>
      </c>
      <c r="L183" s="29" t="s">
        <v>81</v>
      </c>
      <c r="M183" s="29" t="s">
        <v>81</v>
      </c>
    </row>
    <row r="184" spans="1:13" ht="16.25" customHeight="1" x14ac:dyDescent="0.2">
      <c r="A184" s="10">
        <v>46020</v>
      </c>
      <c r="B184" s="56" t="s">
        <v>84</v>
      </c>
      <c r="C184" s="57"/>
      <c r="D184" s="57"/>
      <c r="E184" s="74"/>
      <c r="F184" s="74"/>
      <c r="G184" s="20"/>
      <c r="H184" s="26"/>
      <c r="I184" s="8"/>
      <c r="J184" s="8"/>
      <c r="K184" s="29" t="s">
        <v>81</v>
      </c>
      <c r="L184" s="29" t="s">
        <v>81</v>
      </c>
      <c r="M184" s="29" t="s">
        <v>81</v>
      </c>
    </row>
    <row r="185" spans="1:13" ht="16.25" customHeight="1" x14ac:dyDescent="0.2">
      <c r="A185" s="10">
        <v>46021</v>
      </c>
      <c r="B185" s="56" t="s">
        <v>84</v>
      </c>
      <c r="C185" s="57"/>
      <c r="D185" s="57"/>
      <c r="E185" s="74"/>
      <c r="F185" s="74"/>
      <c r="G185" s="20"/>
      <c r="H185" s="26"/>
      <c r="I185" s="8"/>
      <c r="J185" s="8"/>
      <c r="K185" s="29" t="s">
        <v>81</v>
      </c>
      <c r="L185" s="29" t="s">
        <v>81</v>
      </c>
      <c r="M185" s="29" t="s">
        <v>81</v>
      </c>
    </row>
    <row r="186" spans="1:13" ht="16.25" customHeight="1" x14ac:dyDescent="0.2">
      <c r="A186" s="10">
        <v>46022</v>
      </c>
      <c r="B186" s="56" t="s">
        <v>84</v>
      </c>
      <c r="C186" s="57"/>
      <c r="D186" s="57"/>
      <c r="E186" s="74"/>
      <c r="F186" s="74"/>
      <c r="G186" s="20"/>
      <c r="H186" s="26"/>
      <c r="I186" s="8"/>
      <c r="J186" s="8"/>
      <c r="K186" s="29" t="s">
        <v>81</v>
      </c>
      <c r="L186" s="29" t="s">
        <v>81</v>
      </c>
      <c r="M186" s="29" t="s">
        <v>81</v>
      </c>
    </row>
    <row r="187" spans="1:13" ht="16.25" customHeight="1" x14ac:dyDescent="0.2">
      <c r="A187" s="10">
        <v>46023</v>
      </c>
      <c r="B187" s="56" t="s">
        <v>17</v>
      </c>
      <c r="C187" s="57"/>
      <c r="D187" s="57"/>
      <c r="E187" s="74"/>
      <c r="F187" s="74"/>
      <c r="G187" s="20"/>
      <c r="H187" s="26"/>
      <c r="I187" s="8"/>
      <c r="J187" s="8"/>
      <c r="K187" s="29" t="s">
        <v>81</v>
      </c>
      <c r="L187" s="29" t="s">
        <v>81</v>
      </c>
      <c r="M187" s="29" t="s">
        <v>81</v>
      </c>
    </row>
    <row r="188" spans="1:13" ht="16.25" customHeight="1" x14ac:dyDescent="0.2">
      <c r="A188" s="10">
        <v>46024</v>
      </c>
      <c r="B188" s="56" t="s">
        <v>84</v>
      </c>
      <c r="C188" s="57"/>
      <c r="D188" s="57"/>
      <c r="E188" s="74"/>
      <c r="F188" s="74"/>
      <c r="G188" s="20"/>
      <c r="H188" s="26"/>
      <c r="I188" s="8"/>
      <c r="J188" s="8"/>
      <c r="K188" s="29" t="s">
        <v>81</v>
      </c>
      <c r="L188" s="29" t="s">
        <v>81</v>
      </c>
      <c r="M188" s="29" t="s">
        <v>81</v>
      </c>
    </row>
    <row r="189" spans="1:13" ht="16.25" customHeight="1" x14ac:dyDescent="0.2">
      <c r="A189" s="10">
        <v>46025</v>
      </c>
      <c r="B189" s="56" t="s">
        <v>20</v>
      </c>
      <c r="C189" s="57"/>
      <c r="D189" s="57"/>
      <c r="E189" s="74"/>
      <c r="F189" s="74"/>
      <c r="G189" s="20"/>
      <c r="H189" s="26"/>
      <c r="I189" s="8"/>
      <c r="J189" s="8"/>
      <c r="K189" s="29" t="s">
        <v>81</v>
      </c>
      <c r="L189" s="29" t="s">
        <v>81</v>
      </c>
      <c r="M189" s="29" t="s">
        <v>81</v>
      </c>
    </row>
    <row r="190" spans="1:13" ht="16.25" customHeight="1" x14ac:dyDescent="0.2">
      <c r="A190" s="10">
        <v>46026</v>
      </c>
      <c r="B190" s="56" t="s">
        <v>20</v>
      </c>
      <c r="C190" s="57"/>
      <c r="D190" s="57"/>
      <c r="E190" s="74"/>
      <c r="F190" s="74"/>
      <c r="G190" s="20"/>
      <c r="H190" s="26"/>
      <c r="I190" s="8"/>
      <c r="J190" s="8"/>
      <c r="K190" s="29" t="s">
        <v>81</v>
      </c>
      <c r="L190" s="29" t="s">
        <v>81</v>
      </c>
      <c r="M190" s="29" t="s">
        <v>81</v>
      </c>
    </row>
    <row r="191" spans="1:13" ht="16.25" customHeight="1" x14ac:dyDescent="0.2">
      <c r="A191" s="10">
        <v>46027</v>
      </c>
      <c r="B191" s="56" t="s">
        <v>84</v>
      </c>
      <c r="C191" s="57"/>
      <c r="D191" s="57"/>
      <c r="E191" s="74"/>
      <c r="F191" s="74"/>
      <c r="G191" s="20"/>
      <c r="H191" s="26"/>
      <c r="I191" s="8"/>
      <c r="J191" s="8"/>
      <c r="K191" s="29" t="s">
        <v>81</v>
      </c>
      <c r="L191" s="29" t="s">
        <v>81</v>
      </c>
      <c r="M191" s="29" t="s">
        <v>81</v>
      </c>
    </row>
    <row r="192" spans="1:13" ht="16.25" customHeight="1" x14ac:dyDescent="0.2">
      <c r="A192" s="10">
        <v>46028</v>
      </c>
      <c r="B192" s="56" t="s">
        <v>84</v>
      </c>
      <c r="C192" s="57"/>
      <c r="D192" s="57"/>
      <c r="E192" s="74"/>
      <c r="F192" s="74"/>
      <c r="G192" s="20"/>
      <c r="H192" s="26"/>
      <c r="I192" s="8"/>
      <c r="J192" s="8"/>
      <c r="K192" s="29" t="s">
        <v>81</v>
      </c>
      <c r="L192" s="29" t="s">
        <v>81</v>
      </c>
      <c r="M192" s="29" t="s">
        <v>81</v>
      </c>
    </row>
    <row r="193" spans="1:13" ht="16.25" customHeight="1" x14ac:dyDescent="0.2">
      <c r="A193" s="17">
        <v>46029</v>
      </c>
      <c r="B193" s="64" t="s">
        <v>85</v>
      </c>
      <c r="C193" s="65"/>
      <c r="D193" s="65"/>
      <c r="E193" s="79"/>
      <c r="F193" s="79"/>
      <c r="G193" s="22"/>
      <c r="H193" s="28"/>
      <c r="I193" s="19"/>
      <c r="J193" s="19"/>
      <c r="K193" s="32" t="s">
        <v>81</v>
      </c>
      <c r="L193" s="32" t="s">
        <v>81</v>
      </c>
      <c r="M193" s="32" t="s">
        <v>81</v>
      </c>
    </row>
    <row r="194" spans="1:13" ht="16.25" customHeight="1" x14ac:dyDescent="0.2">
      <c r="A194" s="7">
        <v>46030</v>
      </c>
      <c r="B194" s="61">
        <v>3</v>
      </c>
      <c r="C194" s="60"/>
      <c r="D194" s="60"/>
      <c r="E194" s="76"/>
      <c r="F194" s="76"/>
      <c r="G194" s="21"/>
      <c r="H194" s="27">
        <f>1+SUM(H169:H175)</f>
        <v>19</v>
      </c>
      <c r="I194" s="5"/>
      <c r="J194" s="5"/>
      <c r="K194" s="29" t="s">
        <v>81</v>
      </c>
      <c r="L194" s="29" t="s">
        <v>81</v>
      </c>
      <c r="M194" s="29" t="s">
        <v>81</v>
      </c>
    </row>
    <row r="195" spans="1:13" ht="16.25" customHeight="1" x14ac:dyDescent="0.2">
      <c r="A195" s="7">
        <v>46031</v>
      </c>
      <c r="B195" s="61">
        <v>4</v>
      </c>
      <c r="C195" s="60"/>
      <c r="D195" s="60"/>
      <c r="E195" s="76"/>
      <c r="F195" s="76"/>
      <c r="G195" s="21"/>
      <c r="H195" s="27"/>
      <c r="I195" s="5"/>
      <c r="J195" s="5"/>
      <c r="K195" s="29" t="s">
        <v>81</v>
      </c>
      <c r="L195" s="29" t="s">
        <v>81</v>
      </c>
      <c r="M195" s="29" t="s">
        <v>81</v>
      </c>
    </row>
    <row r="196" spans="1:13" ht="16.25" customHeight="1" x14ac:dyDescent="0.2">
      <c r="A196" s="10">
        <v>46032</v>
      </c>
      <c r="B196" s="56" t="s">
        <v>20</v>
      </c>
      <c r="C196" s="57"/>
      <c r="D196" s="57"/>
      <c r="E196" s="74"/>
      <c r="F196" s="74"/>
      <c r="G196" s="20"/>
      <c r="H196" s="26"/>
      <c r="I196" s="8"/>
      <c r="J196" s="8"/>
      <c r="K196" s="29" t="s">
        <v>81</v>
      </c>
      <c r="L196" s="29" t="s">
        <v>81</v>
      </c>
      <c r="M196" s="29" t="s">
        <v>81</v>
      </c>
    </row>
    <row r="197" spans="1:13" ht="16.25" customHeight="1" x14ac:dyDescent="0.2">
      <c r="A197" s="10">
        <v>46033</v>
      </c>
      <c r="B197" s="56" t="s">
        <v>20</v>
      </c>
      <c r="C197" s="57"/>
      <c r="D197" s="57"/>
      <c r="E197" s="74"/>
      <c r="F197" s="74"/>
      <c r="G197" s="20"/>
      <c r="H197" s="26"/>
      <c r="I197" s="8"/>
      <c r="J197" s="8"/>
      <c r="K197" s="29" t="s">
        <v>81</v>
      </c>
      <c r="L197" s="29" t="s">
        <v>81</v>
      </c>
      <c r="M197" s="29" t="s">
        <v>81</v>
      </c>
    </row>
    <row r="198" spans="1:13" ht="16.25" customHeight="1" x14ac:dyDescent="0.2">
      <c r="A198" s="10">
        <v>46034</v>
      </c>
      <c r="B198" s="56" t="s">
        <v>17</v>
      </c>
      <c r="C198" s="57"/>
      <c r="D198" s="57"/>
      <c r="E198" s="74"/>
      <c r="F198" s="74"/>
      <c r="G198" s="20"/>
      <c r="H198" s="26"/>
      <c r="I198" s="8"/>
      <c r="J198" s="8"/>
      <c r="K198" s="29" t="s">
        <v>81</v>
      </c>
      <c r="L198" s="29" t="s">
        <v>81</v>
      </c>
      <c r="M198" s="29" t="s">
        <v>81</v>
      </c>
    </row>
    <row r="199" spans="1:13" ht="16.25" customHeight="1" x14ac:dyDescent="0.2">
      <c r="A199" s="7">
        <v>46035</v>
      </c>
      <c r="B199" s="61">
        <v>5</v>
      </c>
      <c r="C199" s="60"/>
      <c r="D199" s="60"/>
      <c r="E199" s="76"/>
      <c r="F199" s="76"/>
      <c r="G199" s="21"/>
      <c r="H199" s="27">
        <f>1+SUM(H190:H196)</f>
        <v>20</v>
      </c>
      <c r="I199" s="5"/>
      <c r="J199" s="5"/>
      <c r="K199" s="29" t="s">
        <v>65</v>
      </c>
      <c r="L199" s="29" t="s">
        <v>87</v>
      </c>
      <c r="M199" s="29" t="s">
        <v>81</v>
      </c>
    </row>
    <row r="200" spans="1:13" ht="16.25" customHeight="1" x14ac:dyDescent="0.2">
      <c r="A200" s="7">
        <v>46036</v>
      </c>
      <c r="B200" s="61">
        <v>6</v>
      </c>
      <c r="C200" s="60"/>
      <c r="D200" s="60"/>
      <c r="E200" s="76"/>
      <c r="F200" s="76"/>
      <c r="G200" s="21">
        <v>13</v>
      </c>
      <c r="H200" s="27"/>
      <c r="I200" s="5"/>
      <c r="J200" s="5"/>
      <c r="K200" s="29" t="s">
        <v>88</v>
      </c>
      <c r="L200" s="29"/>
      <c r="M200" s="29"/>
    </row>
    <row r="201" spans="1:13" ht="16.25" customHeight="1" x14ac:dyDescent="0.2">
      <c r="A201" s="7">
        <v>46037</v>
      </c>
      <c r="B201" s="61">
        <v>1</v>
      </c>
      <c r="C201" s="60"/>
      <c r="D201" s="60"/>
      <c r="E201" s="76"/>
      <c r="F201" s="76"/>
      <c r="G201" s="21"/>
      <c r="H201" s="27"/>
      <c r="I201" s="5"/>
      <c r="J201" s="5"/>
      <c r="K201" s="29"/>
      <c r="L201" s="29"/>
      <c r="M201" s="29"/>
    </row>
    <row r="202" spans="1:13" ht="16.25" customHeight="1" x14ac:dyDescent="0.2">
      <c r="A202" s="46">
        <v>46038</v>
      </c>
      <c r="B202" s="66" t="s">
        <v>51</v>
      </c>
      <c r="C202" s="67" t="s">
        <v>89</v>
      </c>
      <c r="D202" s="67"/>
      <c r="E202" s="80"/>
      <c r="F202" s="80"/>
      <c r="G202" s="48"/>
      <c r="H202" s="49"/>
      <c r="I202" s="50"/>
      <c r="J202" s="50"/>
      <c r="K202" s="51"/>
      <c r="L202" s="51"/>
      <c r="M202" s="51"/>
    </row>
    <row r="203" spans="1:13" ht="16.25" customHeight="1" x14ac:dyDescent="0.2">
      <c r="A203" s="10">
        <v>46039</v>
      </c>
      <c r="B203" s="56" t="s">
        <v>20</v>
      </c>
      <c r="C203" s="57"/>
      <c r="D203" s="57"/>
      <c r="E203" s="74"/>
      <c r="F203" s="74"/>
      <c r="G203" s="20"/>
      <c r="H203" s="26"/>
      <c r="I203" s="8"/>
      <c r="J203" s="8"/>
      <c r="K203" s="29"/>
      <c r="L203" s="29"/>
      <c r="M203" s="29"/>
    </row>
    <row r="204" spans="1:13" ht="16.25" customHeight="1" x14ac:dyDescent="0.2">
      <c r="A204" s="10">
        <v>46040</v>
      </c>
      <c r="B204" s="56" t="s">
        <v>20</v>
      </c>
      <c r="C204" s="57"/>
      <c r="D204" s="57"/>
      <c r="E204" s="74"/>
      <c r="F204" s="74"/>
      <c r="G204" s="20"/>
      <c r="H204" s="26"/>
      <c r="I204" s="8"/>
      <c r="J204" s="8"/>
      <c r="K204" s="29"/>
      <c r="L204" s="29"/>
      <c r="M204" s="29"/>
    </row>
    <row r="205" spans="1:13" ht="16.25" customHeight="1" x14ac:dyDescent="0.2">
      <c r="A205" s="7">
        <v>46041</v>
      </c>
      <c r="B205" s="61">
        <v>2</v>
      </c>
      <c r="C205" s="60"/>
      <c r="D205" s="60"/>
      <c r="E205" s="76"/>
      <c r="F205" s="76"/>
      <c r="G205" s="21"/>
      <c r="H205" s="27">
        <f>1+SUM(H196:H202)</f>
        <v>21</v>
      </c>
      <c r="I205" s="5"/>
      <c r="J205" s="5"/>
      <c r="K205" s="29"/>
      <c r="L205" s="29"/>
      <c r="M205" s="29"/>
    </row>
    <row r="206" spans="1:13" ht="16.25" customHeight="1" x14ac:dyDescent="0.2">
      <c r="A206" s="7">
        <v>46042</v>
      </c>
      <c r="B206" s="61">
        <v>3</v>
      </c>
      <c r="C206" s="60"/>
      <c r="D206" s="60"/>
      <c r="E206" s="76"/>
      <c r="F206" s="76"/>
      <c r="G206" s="21"/>
      <c r="H206" s="27"/>
      <c r="I206" s="5"/>
      <c r="J206" s="5"/>
      <c r="K206" s="29"/>
      <c r="L206" s="29"/>
      <c r="M206" s="29"/>
    </row>
    <row r="207" spans="1:13" ht="16.25" customHeight="1" x14ac:dyDescent="0.2">
      <c r="A207" s="7">
        <v>46043</v>
      </c>
      <c r="B207" s="61">
        <v>4</v>
      </c>
      <c r="C207" s="60"/>
      <c r="D207" s="60"/>
      <c r="E207" s="76"/>
      <c r="F207" s="76"/>
      <c r="G207" s="21"/>
      <c r="H207" s="27"/>
      <c r="I207" s="5"/>
      <c r="J207" s="5"/>
      <c r="K207" s="29"/>
      <c r="L207" s="29"/>
      <c r="M207" s="29"/>
    </row>
    <row r="208" spans="1:13" ht="16.25" customHeight="1" x14ac:dyDescent="0.2">
      <c r="A208" s="7">
        <v>46044</v>
      </c>
      <c r="B208" s="61">
        <v>5</v>
      </c>
      <c r="C208" s="60"/>
      <c r="D208" s="60"/>
      <c r="E208" s="76"/>
      <c r="F208" s="76"/>
      <c r="G208" s="21"/>
      <c r="H208" s="27"/>
      <c r="I208" s="5"/>
      <c r="J208" s="5"/>
      <c r="K208" s="29"/>
      <c r="L208" s="29"/>
      <c r="M208" s="29"/>
    </row>
    <row r="209" spans="1:13" ht="16.25" customHeight="1" x14ac:dyDescent="0.2">
      <c r="A209" s="7">
        <v>46045</v>
      </c>
      <c r="B209" s="61">
        <v>6</v>
      </c>
      <c r="C209" s="60"/>
      <c r="D209" s="60"/>
      <c r="E209" s="76"/>
      <c r="F209" s="76"/>
      <c r="G209" s="21">
        <v>14</v>
      </c>
      <c r="H209" s="27"/>
      <c r="I209" s="5"/>
      <c r="J209" s="5"/>
      <c r="K209" s="29"/>
      <c r="L209" s="29"/>
      <c r="M209" s="29"/>
    </row>
    <row r="210" spans="1:13" ht="16.25" customHeight="1" x14ac:dyDescent="0.2">
      <c r="A210" s="10">
        <v>46046</v>
      </c>
      <c r="B210" s="56" t="s">
        <v>20</v>
      </c>
      <c r="C210" s="57"/>
      <c r="D210" s="57"/>
      <c r="E210" s="74"/>
      <c r="F210" s="74"/>
      <c r="G210" s="20"/>
      <c r="H210" s="26"/>
      <c r="I210" s="8"/>
      <c r="J210" s="8"/>
      <c r="K210" s="29"/>
      <c r="L210" s="29"/>
      <c r="M210" s="29"/>
    </row>
    <row r="211" spans="1:13" ht="16.25" customHeight="1" x14ac:dyDescent="0.2">
      <c r="A211" s="10">
        <v>46047</v>
      </c>
      <c r="B211" s="56" t="s">
        <v>20</v>
      </c>
      <c r="C211" s="57"/>
      <c r="D211" s="57"/>
      <c r="E211" s="74"/>
      <c r="F211" s="74"/>
      <c r="G211" s="20"/>
      <c r="H211" s="26"/>
      <c r="I211" s="8"/>
      <c r="J211" s="8"/>
      <c r="K211" s="29"/>
      <c r="L211" s="29"/>
      <c r="M211" s="29"/>
    </row>
    <row r="212" spans="1:13" ht="16.25" customHeight="1" x14ac:dyDescent="0.2">
      <c r="A212" s="7">
        <v>46048</v>
      </c>
      <c r="B212" s="61">
        <v>1</v>
      </c>
      <c r="C212" s="60"/>
      <c r="D212" s="60"/>
      <c r="E212" s="76"/>
      <c r="F212" s="76"/>
      <c r="G212" s="21"/>
      <c r="H212" s="27">
        <f>1+SUM(H203:H209)</f>
        <v>22</v>
      </c>
      <c r="I212" s="5"/>
      <c r="J212" s="5"/>
      <c r="K212" s="29"/>
      <c r="L212" s="29"/>
      <c r="M212" s="29"/>
    </row>
    <row r="213" spans="1:13" ht="16.25" customHeight="1" x14ac:dyDescent="0.2">
      <c r="A213" s="7">
        <v>46049</v>
      </c>
      <c r="B213" s="61">
        <v>2</v>
      </c>
      <c r="C213" s="60"/>
      <c r="D213" s="60"/>
      <c r="E213" s="76"/>
      <c r="F213" s="76"/>
      <c r="G213" s="21"/>
      <c r="H213" s="27"/>
      <c r="I213" s="5"/>
      <c r="J213" s="5"/>
      <c r="K213" s="29"/>
      <c r="L213" s="29"/>
      <c r="M213" s="29"/>
    </row>
    <row r="214" spans="1:13" ht="16.25" customHeight="1" x14ac:dyDescent="0.2">
      <c r="A214" s="7">
        <v>46050</v>
      </c>
      <c r="B214" s="61">
        <v>3</v>
      </c>
      <c r="C214" s="60"/>
      <c r="D214" s="60"/>
      <c r="E214" s="76"/>
      <c r="F214" s="76"/>
      <c r="G214" s="21"/>
      <c r="H214" s="27"/>
      <c r="I214" s="5"/>
      <c r="J214" s="5"/>
      <c r="K214" s="29"/>
      <c r="L214" s="29"/>
      <c r="M214" s="29"/>
    </row>
    <row r="215" spans="1:13" ht="16.25" customHeight="1" x14ac:dyDescent="0.2">
      <c r="A215" s="7">
        <v>46051</v>
      </c>
      <c r="B215" s="61">
        <v>4</v>
      </c>
      <c r="C215" s="60"/>
      <c r="D215" s="60"/>
      <c r="E215" s="76"/>
      <c r="F215" s="76"/>
      <c r="G215" s="21"/>
      <c r="H215" s="27"/>
      <c r="I215" s="5"/>
      <c r="J215" s="5"/>
      <c r="K215" s="29"/>
      <c r="L215" s="29"/>
      <c r="M215" s="29"/>
    </row>
    <row r="216" spans="1:13" ht="16.25" customHeight="1" x14ac:dyDescent="0.2">
      <c r="A216" s="7">
        <v>46052</v>
      </c>
      <c r="B216" s="61">
        <v>5</v>
      </c>
      <c r="C216" s="60"/>
      <c r="D216" s="60"/>
      <c r="E216" s="76"/>
      <c r="F216" s="76"/>
      <c r="G216" s="21"/>
      <c r="H216" s="27"/>
      <c r="I216" s="5"/>
      <c r="J216" s="5"/>
      <c r="K216" s="29"/>
      <c r="L216" s="29"/>
      <c r="M216" s="29"/>
    </row>
    <row r="217" spans="1:13" ht="16.25" customHeight="1" x14ac:dyDescent="0.2">
      <c r="A217" s="10">
        <v>46053</v>
      </c>
      <c r="B217" s="56" t="s">
        <v>20</v>
      </c>
      <c r="C217" s="57"/>
      <c r="D217" s="57"/>
      <c r="E217" s="74"/>
      <c r="F217" s="74"/>
      <c r="G217" s="20"/>
      <c r="H217" s="26"/>
      <c r="I217" s="8"/>
      <c r="J217" s="8"/>
      <c r="K217" s="29"/>
      <c r="L217" s="29"/>
      <c r="M217" s="29"/>
    </row>
    <row r="218" spans="1:13" ht="16.25" customHeight="1" x14ac:dyDescent="0.2">
      <c r="A218" s="10">
        <v>46054</v>
      </c>
      <c r="B218" s="56" t="s">
        <v>20</v>
      </c>
      <c r="C218" s="57"/>
      <c r="D218" s="57"/>
      <c r="E218" s="74"/>
      <c r="F218" s="74"/>
      <c r="G218" s="20"/>
      <c r="H218" s="26"/>
      <c r="I218" s="8"/>
      <c r="J218" s="8"/>
      <c r="K218" s="29"/>
      <c r="L218" s="29"/>
      <c r="M218" s="29"/>
    </row>
    <row r="219" spans="1:13" ht="16.25" customHeight="1" x14ac:dyDescent="0.2">
      <c r="A219" s="7">
        <v>46055</v>
      </c>
      <c r="B219" s="61">
        <v>6</v>
      </c>
      <c r="C219" s="60"/>
      <c r="D219" s="60"/>
      <c r="E219" s="76"/>
      <c r="F219" s="76"/>
      <c r="G219" s="21">
        <v>15</v>
      </c>
      <c r="H219" s="27">
        <f>1+SUM(H210:H216)</f>
        <v>23</v>
      </c>
      <c r="I219" s="5"/>
      <c r="J219" s="5"/>
      <c r="K219" s="29"/>
      <c r="L219" s="29"/>
      <c r="M219" s="29"/>
    </row>
    <row r="220" spans="1:13" ht="16.25" customHeight="1" x14ac:dyDescent="0.2">
      <c r="A220" s="7">
        <v>46056</v>
      </c>
      <c r="B220" s="61">
        <v>1</v>
      </c>
      <c r="C220" s="60"/>
      <c r="D220" s="60"/>
      <c r="E220" s="76"/>
      <c r="F220" s="76"/>
      <c r="G220" s="21"/>
      <c r="H220" s="27"/>
      <c r="I220" s="5"/>
      <c r="J220" s="5"/>
      <c r="K220" s="29"/>
      <c r="L220" s="29"/>
      <c r="M220" s="29"/>
    </row>
    <row r="221" spans="1:13" ht="16.25" customHeight="1" x14ac:dyDescent="0.2">
      <c r="A221" s="7">
        <v>46057</v>
      </c>
      <c r="B221" s="61">
        <v>2</v>
      </c>
      <c r="C221" s="60"/>
      <c r="D221" s="60"/>
      <c r="E221" s="76"/>
      <c r="F221" s="76"/>
      <c r="G221" s="21"/>
      <c r="H221" s="27"/>
      <c r="I221" s="5"/>
      <c r="J221" s="5"/>
      <c r="K221" s="29"/>
      <c r="L221" s="29"/>
      <c r="M221" s="29"/>
    </row>
    <row r="222" spans="1:13" ht="16.25" customHeight="1" x14ac:dyDescent="0.2">
      <c r="A222" s="7">
        <v>46058</v>
      </c>
      <c r="B222" s="61">
        <v>3</v>
      </c>
      <c r="C222" s="60"/>
      <c r="D222" s="60"/>
      <c r="E222" s="76"/>
      <c r="F222" s="76"/>
      <c r="G222" s="21"/>
      <c r="H222" s="27"/>
      <c r="I222" s="5"/>
      <c r="J222" s="5"/>
      <c r="K222" s="29"/>
      <c r="L222" s="29"/>
      <c r="M222" s="29"/>
    </row>
    <row r="223" spans="1:13" ht="16.25" customHeight="1" x14ac:dyDescent="0.2">
      <c r="A223" s="7">
        <v>46059</v>
      </c>
      <c r="B223" s="61">
        <v>4</v>
      </c>
      <c r="C223" s="60"/>
      <c r="D223" s="60"/>
      <c r="E223" s="76"/>
      <c r="F223" s="76"/>
      <c r="G223" s="21"/>
      <c r="H223" s="27"/>
      <c r="I223" s="5"/>
      <c r="J223" s="5"/>
      <c r="K223" s="29"/>
      <c r="L223" s="29"/>
      <c r="M223" s="29"/>
    </row>
    <row r="224" spans="1:13" ht="16.25" customHeight="1" x14ac:dyDescent="0.2">
      <c r="A224" s="10">
        <v>46060</v>
      </c>
      <c r="B224" s="56" t="s">
        <v>20</v>
      </c>
      <c r="C224" s="57"/>
      <c r="D224" s="57"/>
      <c r="E224" s="74"/>
      <c r="F224" s="74"/>
      <c r="G224" s="20"/>
      <c r="H224" s="26"/>
      <c r="I224" s="8"/>
      <c r="J224" s="8"/>
      <c r="K224" s="29"/>
      <c r="L224" s="29"/>
      <c r="M224" s="29"/>
    </row>
    <row r="225" spans="1:13" ht="16.25" customHeight="1" x14ac:dyDescent="0.2">
      <c r="A225" s="10">
        <v>46061</v>
      </c>
      <c r="B225" s="56" t="s">
        <v>20</v>
      </c>
      <c r="C225" s="57"/>
      <c r="D225" s="57"/>
      <c r="E225" s="74"/>
      <c r="F225" s="74"/>
      <c r="G225" s="20"/>
      <c r="H225" s="26"/>
      <c r="I225" s="8"/>
      <c r="J225" s="8"/>
      <c r="K225" s="29"/>
      <c r="L225" s="29"/>
      <c r="M225" s="29"/>
    </row>
    <row r="226" spans="1:13" ht="16.25" customHeight="1" x14ac:dyDescent="0.2">
      <c r="A226" s="7">
        <v>46062</v>
      </c>
      <c r="B226" s="61">
        <v>5</v>
      </c>
      <c r="C226" s="60"/>
      <c r="D226" s="60"/>
      <c r="E226" s="76"/>
      <c r="F226" s="76"/>
      <c r="G226" s="21"/>
      <c r="H226" s="27">
        <f>1+SUM(H217:H223)</f>
        <v>24</v>
      </c>
      <c r="I226" s="5"/>
      <c r="J226" s="5"/>
      <c r="K226" s="29"/>
      <c r="L226" s="29"/>
      <c r="M226" s="29"/>
    </row>
    <row r="227" spans="1:13" ht="16.25" customHeight="1" x14ac:dyDescent="0.2">
      <c r="A227" s="7">
        <v>46063</v>
      </c>
      <c r="B227" s="61">
        <v>6</v>
      </c>
      <c r="C227" s="60"/>
      <c r="D227" s="60"/>
      <c r="E227" s="76"/>
      <c r="F227" s="76"/>
      <c r="G227" s="21">
        <v>16</v>
      </c>
      <c r="H227" s="27"/>
      <c r="I227" s="5"/>
      <c r="J227" s="5"/>
      <c r="K227" s="29"/>
      <c r="L227" s="29"/>
      <c r="M227" s="29"/>
    </row>
    <row r="228" spans="1:13" ht="16.25" customHeight="1" x14ac:dyDescent="0.2">
      <c r="A228" s="7">
        <v>46064</v>
      </c>
      <c r="B228" s="61">
        <v>1</v>
      </c>
      <c r="C228" s="60"/>
      <c r="D228" s="60"/>
      <c r="E228" s="76"/>
      <c r="F228" s="76"/>
      <c r="G228" s="21"/>
      <c r="H228" s="27"/>
      <c r="I228" s="5"/>
      <c r="J228" s="5"/>
      <c r="K228" s="29"/>
      <c r="L228" s="29"/>
      <c r="M228" s="29"/>
    </row>
    <row r="229" spans="1:13" ht="16.25" customHeight="1" x14ac:dyDescent="0.2">
      <c r="A229" s="7">
        <v>46065</v>
      </c>
      <c r="B229" s="61">
        <v>2</v>
      </c>
      <c r="C229" s="60"/>
      <c r="D229" s="60"/>
      <c r="E229" s="76"/>
      <c r="F229" s="76"/>
      <c r="G229" s="21"/>
      <c r="H229" s="27"/>
      <c r="I229" s="5"/>
      <c r="J229" s="5"/>
      <c r="K229" s="29"/>
      <c r="L229" s="29"/>
      <c r="M229" s="29"/>
    </row>
    <row r="230" spans="1:13" ht="16.25" customHeight="1" x14ac:dyDescent="0.2">
      <c r="A230" s="7">
        <v>46066</v>
      </c>
      <c r="B230" s="61">
        <v>3</v>
      </c>
      <c r="C230" s="60"/>
      <c r="D230" s="60"/>
      <c r="E230" s="76"/>
      <c r="F230" s="76"/>
      <c r="G230" s="21"/>
      <c r="H230" s="27"/>
      <c r="I230" s="5"/>
      <c r="J230" s="5"/>
      <c r="K230" s="29"/>
      <c r="L230" s="29"/>
      <c r="M230" s="29"/>
    </row>
    <row r="231" spans="1:13" ht="16.25" customHeight="1" x14ac:dyDescent="0.2">
      <c r="A231" s="10">
        <v>46067</v>
      </c>
      <c r="B231" s="56" t="s">
        <v>20</v>
      </c>
      <c r="C231" s="57"/>
      <c r="D231" s="57"/>
      <c r="E231" s="74"/>
      <c r="F231" s="74"/>
      <c r="G231" s="20"/>
      <c r="H231" s="26"/>
      <c r="I231" s="8"/>
      <c r="J231" s="8"/>
      <c r="K231" s="29"/>
      <c r="L231" s="29"/>
      <c r="M231" s="29"/>
    </row>
    <row r="232" spans="1:13" ht="16.25" customHeight="1" x14ac:dyDescent="0.2">
      <c r="A232" s="10">
        <v>46068</v>
      </c>
      <c r="B232" s="56" t="s">
        <v>20</v>
      </c>
      <c r="C232" s="57"/>
      <c r="D232" s="57"/>
      <c r="E232" s="74"/>
      <c r="F232" s="74"/>
      <c r="G232" s="20"/>
      <c r="H232" s="26"/>
      <c r="I232" s="8"/>
      <c r="J232" s="8"/>
      <c r="K232" s="29"/>
      <c r="L232" s="29"/>
      <c r="M232" s="29"/>
    </row>
    <row r="233" spans="1:13" ht="16.25" customHeight="1" x14ac:dyDescent="0.2">
      <c r="A233" s="7">
        <v>46069</v>
      </c>
      <c r="B233" s="61">
        <v>4</v>
      </c>
      <c r="C233" s="60"/>
      <c r="D233" s="60"/>
      <c r="E233" s="76"/>
      <c r="F233" s="76"/>
      <c r="G233" s="21"/>
      <c r="H233" s="27">
        <f>1+SUM(H224:H230)</f>
        <v>25</v>
      </c>
      <c r="I233" s="5"/>
      <c r="J233" s="5"/>
      <c r="K233" s="29"/>
      <c r="L233" s="29"/>
      <c r="M233" s="29"/>
    </row>
    <row r="234" spans="1:13" ht="16.25" customHeight="1" x14ac:dyDescent="0.2">
      <c r="A234" s="7">
        <v>46070</v>
      </c>
      <c r="B234" s="61">
        <v>5</v>
      </c>
      <c r="C234" s="60"/>
      <c r="D234" s="60"/>
      <c r="E234" s="76"/>
      <c r="F234" s="76"/>
      <c r="G234" s="21"/>
      <c r="H234" s="27"/>
      <c r="I234" s="5"/>
      <c r="J234" s="5"/>
      <c r="K234" s="29"/>
      <c r="L234" s="29"/>
      <c r="M234" s="29"/>
    </row>
    <row r="235" spans="1:13" ht="16.25" customHeight="1" x14ac:dyDescent="0.2">
      <c r="A235" s="7">
        <v>46071</v>
      </c>
      <c r="B235" s="61">
        <v>6</v>
      </c>
      <c r="C235" s="60"/>
      <c r="D235" s="60"/>
      <c r="E235" s="76"/>
      <c r="F235" s="76"/>
      <c r="G235" s="21">
        <v>17</v>
      </c>
      <c r="H235" s="27"/>
      <c r="I235" s="5"/>
      <c r="J235" s="5"/>
      <c r="K235" s="29"/>
      <c r="L235" s="29"/>
      <c r="M235" s="29"/>
    </row>
    <row r="236" spans="1:13" ht="16.25" customHeight="1" x14ac:dyDescent="0.2">
      <c r="A236" s="7">
        <v>46072</v>
      </c>
      <c r="B236" s="61">
        <v>1</v>
      </c>
      <c r="C236" s="60"/>
      <c r="D236" s="60"/>
      <c r="E236" s="76"/>
      <c r="F236" s="76"/>
      <c r="G236" s="21"/>
      <c r="H236" s="27"/>
      <c r="I236" s="5"/>
      <c r="J236" s="5"/>
      <c r="K236" s="29"/>
      <c r="L236" s="29"/>
      <c r="M236" s="29"/>
    </row>
    <row r="237" spans="1:13" ht="16.25" customHeight="1" x14ac:dyDescent="0.2">
      <c r="A237" s="7">
        <v>46073</v>
      </c>
      <c r="B237" s="61">
        <v>2</v>
      </c>
      <c r="C237" s="60"/>
      <c r="D237" s="60"/>
      <c r="E237" s="76"/>
      <c r="F237" s="76"/>
      <c r="G237" s="21"/>
      <c r="H237" s="27"/>
      <c r="I237" s="5"/>
      <c r="J237" s="5"/>
      <c r="K237" s="29"/>
      <c r="L237" s="29"/>
      <c r="M237" s="29"/>
    </row>
    <row r="238" spans="1:13" ht="16.25" customHeight="1" x14ac:dyDescent="0.2">
      <c r="A238" s="10">
        <v>46074</v>
      </c>
      <c r="B238" s="56" t="s">
        <v>20</v>
      </c>
      <c r="C238" s="57"/>
      <c r="D238" s="57"/>
      <c r="E238" s="74"/>
      <c r="F238" s="74"/>
      <c r="G238" s="20"/>
      <c r="H238" s="26"/>
      <c r="I238" s="8"/>
      <c r="J238" s="8"/>
      <c r="K238" s="29"/>
      <c r="L238" s="29"/>
      <c r="M238" s="29"/>
    </row>
    <row r="239" spans="1:13" ht="16.25" customHeight="1" x14ac:dyDescent="0.2">
      <c r="A239" s="10">
        <v>46075</v>
      </c>
      <c r="B239" s="56" t="s">
        <v>20</v>
      </c>
      <c r="C239" s="57"/>
      <c r="D239" s="57"/>
      <c r="E239" s="74"/>
      <c r="F239" s="74"/>
      <c r="G239" s="20"/>
      <c r="H239" s="26"/>
      <c r="I239" s="8"/>
      <c r="J239" s="8"/>
      <c r="K239" s="29"/>
      <c r="L239" s="29"/>
      <c r="M239" s="29"/>
    </row>
    <row r="240" spans="1:13" ht="16.25" customHeight="1" x14ac:dyDescent="0.2">
      <c r="A240" s="7">
        <v>46076</v>
      </c>
      <c r="B240" s="61">
        <v>3</v>
      </c>
      <c r="C240" s="60"/>
      <c r="D240" s="60"/>
      <c r="E240" s="76"/>
      <c r="F240" s="76"/>
      <c r="G240" s="21"/>
      <c r="H240" s="27">
        <f>1+SUM(H231:H237)</f>
        <v>26</v>
      </c>
      <c r="I240" s="5"/>
      <c r="J240" s="5"/>
      <c r="K240" s="29"/>
      <c r="L240" s="29" t="s">
        <v>97</v>
      </c>
      <c r="M240" s="29"/>
    </row>
    <row r="241" spans="1:13" ht="16.25" customHeight="1" x14ac:dyDescent="0.2">
      <c r="A241" s="7">
        <v>46077</v>
      </c>
      <c r="B241" s="61">
        <v>4</v>
      </c>
      <c r="C241" s="60"/>
      <c r="D241" s="60"/>
      <c r="E241" s="76"/>
      <c r="F241" s="76"/>
      <c r="G241" s="21"/>
      <c r="H241" s="27"/>
      <c r="I241" s="5"/>
      <c r="J241" s="5"/>
      <c r="K241" s="29"/>
      <c r="L241" s="29"/>
      <c r="M241" s="29"/>
    </row>
    <row r="242" spans="1:13" ht="16.25" customHeight="1" x14ac:dyDescent="0.2">
      <c r="A242" s="7">
        <v>46078</v>
      </c>
      <c r="B242" s="61">
        <v>5</v>
      </c>
      <c r="C242" s="60"/>
      <c r="D242" s="60"/>
      <c r="E242" s="76"/>
      <c r="F242" s="76"/>
      <c r="G242" s="21"/>
      <c r="H242" s="27"/>
      <c r="I242" s="5"/>
      <c r="J242" s="5"/>
      <c r="K242" s="29"/>
      <c r="L242" s="29"/>
      <c r="M242" s="29"/>
    </row>
    <row r="243" spans="1:13" ht="16.25" customHeight="1" x14ac:dyDescent="0.2">
      <c r="A243" s="7">
        <v>46079</v>
      </c>
      <c r="B243" s="61">
        <v>6</v>
      </c>
      <c r="C243" s="60"/>
      <c r="D243" s="60"/>
      <c r="E243" s="76"/>
      <c r="F243" s="76"/>
      <c r="G243" s="21">
        <v>18</v>
      </c>
      <c r="H243" s="27"/>
      <c r="I243" s="5"/>
      <c r="J243" s="5"/>
      <c r="K243" s="29"/>
      <c r="L243" s="29"/>
      <c r="M243" s="29"/>
    </row>
    <row r="244" spans="1:13" ht="16.25" customHeight="1" x14ac:dyDescent="0.2">
      <c r="A244" s="7">
        <v>46080</v>
      </c>
      <c r="B244" s="61">
        <v>1</v>
      </c>
      <c r="C244" s="60"/>
      <c r="D244" s="60"/>
      <c r="E244" s="76"/>
      <c r="F244" s="76"/>
      <c r="G244" s="21"/>
      <c r="H244" s="27"/>
      <c r="I244" s="5"/>
      <c r="J244" s="5"/>
      <c r="K244" s="29"/>
      <c r="L244" s="29"/>
      <c r="M244" s="29"/>
    </row>
    <row r="245" spans="1:13" ht="16.25" customHeight="1" x14ac:dyDescent="0.2">
      <c r="A245" s="10">
        <v>46081</v>
      </c>
      <c r="B245" s="56" t="s">
        <v>20</v>
      </c>
      <c r="C245" s="57"/>
      <c r="D245" s="57"/>
      <c r="E245" s="74"/>
      <c r="F245" s="74"/>
      <c r="G245" s="20"/>
      <c r="H245" s="26"/>
      <c r="I245" s="8"/>
      <c r="J245" s="8"/>
      <c r="K245" s="29"/>
      <c r="L245" s="29"/>
      <c r="M245" s="29"/>
    </row>
    <row r="246" spans="1:13" ht="16.25" customHeight="1" x14ac:dyDescent="0.2">
      <c r="A246" s="10">
        <v>46082</v>
      </c>
      <c r="B246" s="56" t="s">
        <v>20</v>
      </c>
      <c r="C246" s="57"/>
      <c r="D246" s="57"/>
      <c r="E246" s="74"/>
      <c r="F246" s="74"/>
      <c r="G246" s="20"/>
      <c r="H246" s="26"/>
      <c r="I246" s="8"/>
      <c r="J246" s="8"/>
      <c r="K246" s="29"/>
      <c r="L246" s="29"/>
      <c r="M246" s="29"/>
    </row>
    <row r="247" spans="1:13" ht="16.25" customHeight="1" x14ac:dyDescent="0.2">
      <c r="A247" s="7">
        <v>46083</v>
      </c>
      <c r="B247" s="61">
        <v>2</v>
      </c>
      <c r="C247" s="60"/>
      <c r="D247" s="60"/>
      <c r="E247" s="76"/>
      <c r="F247" s="76"/>
      <c r="G247" s="21"/>
      <c r="H247" s="27">
        <f>1+SUM(H238:H244)</f>
        <v>27</v>
      </c>
      <c r="I247" s="5"/>
      <c r="J247" s="5"/>
      <c r="K247" s="29"/>
      <c r="L247" s="29"/>
      <c r="M247" s="29"/>
    </row>
    <row r="248" spans="1:13" ht="16.25" customHeight="1" x14ac:dyDescent="0.2">
      <c r="A248" s="7">
        <v>46084</v>
      </c>
      <c r="B248" s="61">
        <v>3</v>
      </c>
      <c r="C248" s="60"/>
      <c r="D248" s="60"/>
      <c r="E248" s="76"/>
      <c r="F248" s="76"/>
      <c r="G248" s="21"/>
      <c r="H248" s="27"/>
      <c r="I248" s="5"/>
      <c r="J248" s="5"/>
      <c r="K248" s="29"/>
      <c r="L248" s="29"/>
      <c r="M248" s="29"/>
    </row>
    <row r="249" spans="1:13" ht="16.25" customHeight="1" x14ac:dyDescent="0.2">
      <c r="A249" s="7">
        <v>46085</v>
      </c>
      <c r="B249" s="61">
        <v>4</v>
      </c>
      <c r="C249" s="60"/>
      <c r="D249" s="60"/>
      <c r="E249" s="76"/>
      <c r="F249" s="76"/>
      <c r="G249" s="21"/>
      <c r="H249" s="27"/>
      <c r="I249" s="5"/>
      <c r="J249" s="5"/>
      <c r="K249" s="29"/>
      <c r="L249" s="29"/>
      <c r="M249" s="29"/>
    </row>
    <row r="250" spans="1:13" ht="16.25" customHeight="1" x14ac:dyDescent="0.2">
      <c r="A250" s="7">
        <v>46086</v>
      </c>
      <c r="B250" s="61">
        <v>5</v>
      </c>
      <c r="C250" s="60"/>
      <c r="D250" s="60"/>
      <c r="E250" s="76"/>
      <c r="F250" s="76"/>
      <c r="G250" s="21"/>
      <c r="H250" s="27"/>
      <c r="I250" s="5"/>
      <c r="J250" s="5"/>
      <c r="K250" s="29"/>
      <c r="L250" s="29"/>
      <c r="M250" s="29"/>
    </row>
    <row r="251" spans="1:13" ht="16.25" customHeight="1" x14ac:dyDescent="0.2">
      <c r="A251" s="7">
        <v>46087</v>
      </c>
      <c r="B251" s="61">
        <v>6</v>
      </c>
      <c r="C251" s="60"/>
      <c r="D251" s="60"/>
      <c r="E251" s="76"/>
      <c r="F251" s="76"/>
      <c r="G251" s="21">
        <v>19</v>
      </c>
      <c r="H251" s="27"/>
      <c r="I251" s="5"/>
      <c r="J251" s="5"/>
      <c r="K251" s="29"/>
      <c r="L251" s="29"/>
      <c r="M251" s="29"/>
    </row>
    <row r="252" spans="1:13" ht="16.25" customHeight="1" x14ac:dyDescent="0.2">
      <c r="A252" s="10">
        <v>46088</v>
      </c>
      <c r="B252" s="56" t="s">
        <v>20</v>
      </c>
      <c r="C252" s="57"/>
      <c r="D252" s="57"/>
      <c r="E252" s="74"/>
      <c r="F252" s="74"/>
      <c r="G252" s="20"/>
      <c r="H252" s="26"/>
      <c r="I252" s="8"/>
      <c r="J252" s="8"/>
      <c r="K252" s="29"/>
      <c r="L252" s="29"/>
      <c r="M252" s="29"/>
    </row>
    <row r="253" spans="1:13" ht="16.25" customHeight="1" x14ac:dyDescent="0.2">
      <c r="A253" s="10">
        <v>46089</v>
      </c>
      <c r="B253" s="56" t="s">
        <v>20</v>
      </c>
      <c r="C253" s="57"/>
      <c r="D253" s="57"/>
      <c r="E253" s="74"/>
      <c r="F253" s="74"/>
      <c r="G253" s="20"/>
      <c r="H253" s="26"/>
      <c r="I253" s="8"/>
      <c r="J253" s="8"/>
      <c r="K253" s="29"/>
      <c r="L253" s="29"/>
      <c r="M253" s="29"/>
    </row>
    <row r="254" spans="1:13" ht="16.25" customHeight="1" x14ac:dyDescent="0.2">
      <c r="A254" s="7">
        <v>46090</v>
      </c>
      <c r="B254" s="61">
        <v>1</v>
      </c>
      <c r="C254" s="60"/>
      <c r="D254" s="60"/>
      <c r="E254" s="76"/>
      <c r="F254" s="76"/>
      <c r="G254" s="21"/>
      <c r="H254" s="27">
        <f>1+SUM(H245:H251)</f>
        <v>28</v>
      </c>
      <c r="I254" s="5"/>
      <c r="J254" s="5"/>
      <c r="K254" s="29" t="s">
        <v>65</v>
      </c>
      <c r="L254" s="29"/>
      <c r="M254" s="29"/>
    </row>
    <row r="255" spans="1:13" ht="16.25" customHeight="1" x14ac:dyDescent="0.2">
      <c r="A255" s="7">
        <v>46091</v>
      </c>
      <c r="B255" s="61">
        <v>2</v>
      </c>
      <c r="C255" s="60"/>
      <c r="D255" s="60"/>
      <c r="E255" s="76"/>
      <c r="F255" s="76"/>
      <c r="G255" s="21"/>
      <c r="H255" s="27"/>
      <c r="I255" s="5"/>
      <c r="J255" s="5"/>
      <c r="K255" s="29"/>
      <c r="L255" s="29"/>
      <c r="M255" s="29"/>
    </row>
    <row r="256" spans="1:13" ht="16.25" customHeight="1" x14ac:dyDescent="0.2">
      <c r="A256" s="7">
        <v>46092</v>
      </c>
      <c r="B256" s="61">
        <v>3</v>
      </c>
      <c r="C256" s="60"/>
      <c r="D256" s="60"/>
      <c r="E256" s="76"/>
      <c r="F256" s="76"/>
      <c r="G256" s="21"/>
      <c r="H256" s="27"/>
      <c r="I256" s="5"/>
      <c r="J256" s="5"/>
      <c r="K256" s="29"/>
      <c r="L256" s="29"/>
      <c r="M256" s="29"/>
    </row>
    <row r="257" spans="1:13" ht="16.25" customHeight="1" x14ac:dyDescent="0.2">
      <c r="A257" s="7">
        <v>46093</v>
      </c>
      <c r="B257" s="61">
        <v>4</v>
      </c>
      <c r="C257" s="60"/>
      <c r="D257" s="60"/>
      <c r="E257" s="76"/>
      <c r="F257" s="76"/>
      <c r="G257" s="21"/>
      <c r="H257" s="27"/>
      <c r="I257" s="5"/>
      <c r="J257" s="5"/>
      <c r="K257" s="29"/>
      <c r="L257" s="29"/>
      <c r="M257" s="29"/>
    </row>
    <row r="258" spans="1:13" ht="16.25" customHeight="1" x14ac:dyDescent="0.2">
      <c r="A258" s="7">
        <v>46094</v>
      </c>
      <c r="B258" s="61">
        <v>5</v>
      </c>
      <c r="C258" s="60"/>
      <c r="D258" s="60"/>
      <c r="E258" s="76"/>
      <c r="F258" s="76"/>
      <c r="G258" s="21"/>
      <c r="H258" s="27"/>
      <c r="I258" s="5"/>
      <c r="J258" s="5"/>
      <c r="K258" s="29"/>
      <c r="L258" s="29"/>
      <c r="M258" s="29"/>
    </row>
    <row r="259" spans="1:13" ht="16.25" customHeight="1" x14ac:dyDescent="0.2">
      <c r="A259" s="10">
        <v>46095</v>
      </c>
      <c r="B259" s="56" t="s">
        <v>20</v>
      </c>
      <c r="C259" s="57"/>
      <c r="D259" s="57"/>
      <c r="E259" s="74"/>
      <c r="F259" s="74"/>
      <c r="G259" s="20"/>
      <c r="H259" s="26"/>
      <c r="I259" s="8"/>
      <c r="J259" s="8"/>
      <c r="K259" s="29"/>
      <c r="L259" s="29"/>
      <c r="M259" s="29"/>
    </row>
    <row r="260" spans="1:13" ht="16.25" customHeight="1" x14ac:dyDescent="0.2">
      <c r="A260" s="10">
        <v>46096</v>
      </c>
      <c r="B260" s="56" t="s">
        <v>20</v>
      </c>
      <c r="C260" s="57"/>
      <c r="D260" s="57"/>
      <c r="E260" s="74"/>
      <c r="F260" s="74"/>
      <c r="G260" s="20"/>
      <c r="H260" s="26"/>
      <c r="I260" s="8"/>
      <c r="J260" s="8"/>
      <c r="K260" s="29"/>
      <c r="L260" s="29"/>
      <c r="M260" s="29"/>
    </row>
    <row r="261" spans="1:13" ht="16.25" customHeight="1" x14ac:dyDescent="0.2">
      <c r="A261" s="7">
        <v>46097</v>
      </c>
      <c r="B261" s="61">
        <v>6</v>
      </c>
      <c r="C261" s="60"/>
      <c r="D261" s="60"/>
      <c r="E261" s="76" t="s">
        <v>324</v>
      </c>
      <c r="F261" s="76"/>
      <c r="G261" s="21">
        <v>20</v>
      </c>
      <c r="H261" s="27">
        <f>1+SUM(H252:H258)</f>
        <v>29</v>
      </c>
      <c r="I261" s="5"/>
      <c r="J261" s="5"/>
      <c r="K261" s="29"/>
      <c r="L261" s="29"/>
      <c r="M261" s="29"/>
    </row>
    <row r="262" spans="1:13" ht="16.25" customHeight="1" x14ac:dyDescent="0.2">
      <c r="A262" s="7">
        <v>46098</v>
      </c>
      <c r="B262" s="61">
        <v>1</v>
      </c>
      <c r="C262" s="60"/>
      <c r="D262" s="60"/>
      <c r="E262" s="76" t="s">
        <v>325</v>
      </c>
      <c r="F262" s="76"/>
      <c r="G262" s="21"/>
      <c r="H262" s="27"/>
      <c r="I262" s="5"/>
      <c r="J262" s="5"/>
      <c r="K262" s="29"/>
      <c r="L262" s="29"/>
      <c r="M262" s="29"/>
    </row>
    <row r="263" spans="1:13" ht="16.25" customHeight="1" x14ac:dyDescent="0.2">
      <c r="A263" s="7">
        <v>46099</v>
      </c>
      <c r="B263" s="61">
        <v>2</v>
      </c>
      <c r="C263" s="60"/>
      <c r="D263" s="60"/>
      <c r="E263" s="76"/>
      <c r="F263" s="76"/>
      <c r="G263" s="21"/>
      <c r="H263" s="27"/>
      <c r="I263" s="5"/>
      <c r="J263" s="5"/>
      <c r="K263" s="29"/>
      <c r="L263" s="29"/>
      <c r="M263" s="29"/>
    </row>
    <row r="264" spans="1:13" ht="16.25" customHeight="1" x14ac:dyDescent="0.2">
      <c r="A264" s="7">
        <v>46100</v>
      </c>
      <c r="B264" s="61">
        <v>3</v>
      </c>
      <c r="C264" s="60"/>
      <c r="D264" s="60"/>
      <c r="E264" s="76"/>
      <c r="F264" s="76"/>
      <c r="G264" s="21"/>
      <c r="H264" s="27"/>
      <c r="I264" s="5"/>
      <c r="J264" s="5"/>
      <c r="K264" s="29"/>
      <c r="L264" s="29"/>
      <c r="M264" s="29"/>
    </row>
    <row r="265" spans="1:13" ht="16.25" customHeight="1" x14ac:dyDescent="0.2">
      <c r="A265" s="7">
        <v>46101</v>
      </c>
      <c r="B265" s="61">
        <v>4</v>
      </c>
      <c r="C265" s="60"/>
      <c r="D265" s="60"/>
      <c r="E265" s="76"/>
      <c r="F265" s="76"/>
      <c r="G265" s="21"/>
      <c r="H265" s="27"/>
      <c r="I265" s="5"/>
      <c r="J265" s="5"/>
      <c r="K265" s="29"/>
      <c r="L265" s="29"/>
      <c r="M265" s="29"/>
    </row>
    <row r="266" spans="1:13" ht="16.25" customHeight="1" x14ac:dyDescent="0.2">
      <c r="A266" s="10">
        <v>46102</v>
      </c>
      <c r="B266" s="56" t="s">
        <v>20</v>
      </c>
      <c r="C266" s="57"/>
      <c r="D266" s="57"/>
      <c r="E266" s="74"/>
      <c r="F266" s="74"/>
      <c r="G266" s="20"/>
      <c r="H266" s="26"/>
      <c r="I266" s="8"/>
      <c r="J266" s="8"/>
      <c r="K266" s="29"/>
      <c r="L266" s="29" t="s">
        <v>81</v>
      </c>
      <c r="M266" s="29"/>
    </row>
    <row r="267" spans="1:13" ht="16.25" customHeight="1" x14ac:dyDescent="0.2">
      <c r="A267" s="10">
        <v>46103</v>
      </c>
      <c r="B267" s="56" t="s">
        <v>20</v>
      </c>
      <c r="C267" s="57"/>
      <c r="D267" s="57"/>
      <c r="E267" s="74"/>
      <c r="F267" s="74"/>
      <c r="G267" s="20"/>
      <c r="H267" s="26"/>
      <c r="I267" s="8"/>
      <c r="J267" s="8"/>
      <c r="K267" s="29"/>
      <c r="L267" s="29" t="s">
        <v>81</v>
      </c>
      <c r="M267" s="29"/>
    </row>
    <row r="268" spans="1:13" ht="16.25" customHeight="1" x14ac:dyDescent="0.2">
      <c r="A268" s="10">
        <v>46104</v>
      </c>
      <c r="B268" s="56" t="s">
        <v>17</v>
      </c>
      <c r="C268" s="57"/>
      <c r="D268" s="57"/>
      <c r="E268" s="74"/>
      <c r="F268" s="74"/>
      <c r="G268" s="20"/>
      <c r="H268" s="26"/>
      <c r="I268" s="8"/>
      <c r="J268" s="8"/>
      <c r="K268" s="29"/>
      <c r="L268" s="29" t="s">
        <v>81</v>
      </c>
      <c r="M268" s="29"/>
    </row>
    <row r="269" spans="1:13" ht="16.25" customHeight="1" x14ac:dyDescent="0.2">
      <c r="A269" s="7">
        <v>46105</v>
      </c>
      <c r="B269" s="61">
        <v>5</v>
      </c>
      <c r="C269" s="60"/>
      <c r="D269" s="60"/>
      <c r="E269" s="76"/>
      <c r="F269" s="76"/>
      <c r="G269" s="21"/>
      <c r="H269" s="27">
        <f>1+SUM(H260:H266)</f>
        <v>30</v>
      </c>
      <c r="I269" s="5"/>
      <c r="J269" s="5"/>
      <c r="K269" s="29"/>
      <c r="L269" s="29" t="s">
        <v>81</v>
      </c>
      <c r="M269" s="29"/>
    </row>
    <row r="270" spans="1:13" ht="16.25" customHeight="1" x14ac:dyDescent="0.2">
      <c r="A270" s="7">
        <v>46106</v>
      </c>
      <c r="B270" s="61">
        <v>6</v>
      </c>
      <c r="C270" s="60"/>
      <c r="D270" s="60"/>
      <c r="E270" s="76"/>
      <c r="F270" s="76"/>
      <c r="G270" s="21">
        <v>21</v>
      </c>
      <c r="H270" s="27"/>
      <c r="I270" s="5"/>
      <c r="J270" s="5"/>
      <c r="K270" s="29"/>
      <c r="L270" s="29" t="s">
        <v>81</v>
      </c>
      <c r="M270" s="29"/>
    </row>
    <row r="271" spans="1:13" ht="16.25" customHeight="1" x14ac:dyDescent="0.2">
      <c r="A271" s="37">
        <v>46107</v>
      </c>
      <c r="B271" s="62">
        <v>1</v>
      </c>
      <c r="C271" s="63" t="s">
        <v>102</v>
      </c>
      <c r="D271" s="63"/>
      <c r="E271" s="78"/>
      <c r="F271" s="78"/>
      <c r="G271" s="40"/>
      <c r="H271" s="41"/>
      <c r="I271" s="42"/>
      <c r="J271" s="42"/>
      <c r="K271" s="43"/>
      <c r="L271" s="43" t="s">
        <v>81</v>
      </c>
      <c r="M271" s="43"/>
    </row>
    <row r="272" spans="1:13" ht="16.25" customHeight="1" x14ac:dyDescent="0.2">
      <c r="A272" s="10">
        <v>46108</v>
      </c>
      <c r="B272" s="56" t="s">
        <v>104</v>
      </c>
      <c r="C272" s="57"/>
      <c r="D272" s="57"/>
      <c r="E272" s="74"/>
      <c r="F272" s="74"/>
      <c r="G272" s="20"/>
      <c r="H272" s="26"/>
      <c r="I272" s="8"/>
      <c r="J272" s="8"/>
      <c r="K272" s="29"/>
      <c r="L272" s="29" t="s">
        <v>81</v>
      </c>
      <c r="M272" s="29"/>
    </row>
    <row r="273" spans="1:13" ht="16.25" customHeight="1" x14ac:dyDescent="0.2">
      <c r="A273" s="10">
        <v>46109</v>
      </c>
      <c r="B273" s="56" t="s">
        <v>20</v>
      </c>
      <c r="C273" s="57"/>
      <c r="D273" s="57"/>
      <c r="E273" s="74"/>
      <c r="F273" s="74"/>
      <c r="G273" s="20"/>
      <c r="H273" s="26"/>
      <c r="I273" s="8"/>
      <c r="J273" s="8"/>
      <c r="K273" s="29" t="s">
        <v>81</v>
      </c>
      <c r="L273" s="29" t="s">
        <v>81</v>
      </c>
      <c r="M273" s="29" t="s">
        <v>81</v>
      </c>
    </row>
    <row r="274" spans="1:13" ht="16.25" customHeight="1" x14ac:dyDescent="0.2">
      <c r="A274" s="10">
        <v>46110</v>
      </c>
      <c r="B274" s="56" t="s">
        <v>20</v>
      </c>
      <c r="C274" s="57"/>
      <c r="D274" s="57"/>
      <c r="E274" s="74"/>
      <c r="F274" s="74"/>
      <c r="G274" s="20"/>
      <c r="H274" s="26"/>
      <c r="I274" s="8"/>
      <c r="J274" s="8"/>
      <c r="K274" s="29" t="s">
        <v>81</v>
      </c>
      <c r="L274" s="29" t="s">
        <v>81</v>
      </c>
      <c r="M274" s="29" t="s">
        <v>81</v>
      </c>
    </row>
    <row r="275" spans="1:13" ht="16.25" customHeight="1" x14ac:dyDescent="0.2">
      <c r="A275" s="10">
        <v>46111</v>
      </c>
      <c r="B275" s="56" t="s">
        <v>104</v>
      </c>
      <c r="C275" s="57"/>
      <c r="D275" s="57"/>
      <c r="E275" s="74"/>
      <c r="F275" s="74"/>
      <c r="G275" s="20"/>
      <c r="H275" s="26"/>
      <c r="I275" s="8"/>
      <c r="J275" s="8"/>
      <c r="K275" s="29" t="s">
        <v>81</v>
      </c>
      <c r="L275" s="29" t="s">
        <v>81</v>
      </c>
      <c r="M275" s="29" t="s">
        <v>81</v>
      </c>
    </row>
    <row r="276" spans="1:13" ht="16.25" customHeight="1" x14ac:dyDescent="0.2">
      <c r="A276" s="10">
        <v>46112</v>
      </c>
      <c r="B276" s="56" t="s">
        <v>104</v>
      </c>
      <c r="C276" s="57"/>
      <c r="D276" s="57"/>
      <c r="E276" s="74"/>
      <c r="F276" s="74"/>
      <c r="G276" s="20"/>
      <c r="H276" s="26"/>
      <c r="I276" s="8"/>
      <c r="J276" s="8"/>
      <c r="K276" s="29" t="s">
        <v>81</v>
      </c>
      <c r="L276" s="29" t="s">
        <v>81</v>
      </c>
      <c r="M276" s="29" t="s">
        <v>81</v>
      </c>
    </row>
    <row r="277" spans="1:13" ht="16.25" customHeight="1" x14ac:dyDescent="0.2">
      <c r="A277" s="10">
        <v>46113</v>
      </c>
      <c r="B277" s="56" t="s">
        <v>104</v>
      </c>
      <c r="C277" s="57"/>
      <c r="D277" s="57"/>
      <c r="E277" s="74"/>
      <c r="F277" s="74"/>
      <c r="G277" s="20"/>
      <c r="H277" s="26"/>
      <c r="I277" s="8"/>
      <c r="J277" s="8"/>
      <c r="K277" s="29" t="s">
        <v>81</v>
      </c>
      <c r="L277" s="29" t="s">
        <v>81</v>
      </c>
      <c r="M277" s="29" t="s">
        <v>81</v>
      </c>
    </row>
    <row r="278" spans="1:13" ht="16.25" customHeight="1" x14ac:dyDescent="0.2">
      <c r="A278" s="10">
        <v>46114</v>
      </c>
      <c r="B278" s="56" t="s">
        <v>17</v>
      </c>
      <c r="C278" s="57"/>
      <c r="D278" s="57"/>
      <c r="E278" s="74"/>
      <c r="F278" s="74"/>
      <c r="G278" s="20"/>
      <c r="H278" s="26"/>
      <c r="I278" s="8"/>
      <c r="J278" s="8"/>
      <c r="K278" s="29" t="s">
        <v>81</v>
      </c>
      <c r="L278" s="29" t="s">
        <v>81</v>
      </c>
      <c r="M278" s="29" t="s">
        <v>81</v>
      </c>
    </row>
    <row r="279" spans="1:13" ht="16.25" customHeight="1" x14ac:dyDescent="0.2">
      <c r="A279" s="10">
        <v>46115</v>
      </c>
      <c r="B279" s="56" t="s">
        <v>17</v>
      </c>
      <c r="C279" s="57"/>
      <c r="D279" s="57"/>
      <c r="E279" s="74"/>
      <c r="F279" s="74"/>
      <c r="G279" s="20"/>
      <c r="H279" s="26"/>
      <c r="I279" s="8"/>
      <c r="J279" s="8"/>
      <c r="K279" s="29" t="s">
        <v>81</v>
      </c>
      <c r="L279" s="29" t="s">
        <v>81</v>
      </c>
      <c r="M279" s="29" t="s">
        <v>81</v>
      </c>
    </row>
    <row r="280" spans="1:13" ht="16.25" customHeight="1" x14ac:dyDescent="0.2">
      <c r="A280" s="10">
        <v>46116</v>
      </c>
      <c r="B280" s="56" t="s">
        <v>20</v>
      </c>
      <c r="C280" s="57"/>
      <c r="D280" s="57"/>
      <c r="E280" s="74"/>
      <c r="F280" s="74"/>
      <c r="G280" s="20"/>
      <c r="H280" s="26"/>
      <c r="I280" s="8"/>
      <c r="J280" s="8"/>
      <c r="K280" s="29" t="s">
        <v>81</v>
      </c>
      <c r="L280" s="29" t="s">
        <v>81</v>
      </c>
      <c r="M280" s="29" t="s">
        <v>81</v>
      </c>
    </row>
    <row r="281" spans="1:13" ht="16.25" customHeight="1" x14ac:dyDescent="0.2">
      <c r="A281" s="10">
        <v>46117</v>
      </c>
      <c r="B281" s="56" t="s">
        <v>20</v>
      </c>
      <c r="C281" s="57"/>
      <c r="D281" s="57"/>
      <c r="E281" s="74"/>
      <c r="F281" s="74"/>
      <c r="G281" s="20"/>
      <c r="H281" s="26"/>
      <c r="I281" s="8"/>
      <c r="J281" s="8"/>
      <c r="K281" s="29" t="s">
        <v>81</v>
      </c>
      <c r="L281" s="29" t="s">
        <v>81</v>
      </c>
      <c r="M281" s="29" t="s">
        <v>81</v>
      </c>
    </row>
    <row r="282" spans="1:13" ht="16.25" customHeight="1" x14ac:dyDescent="0.2">
      <c r="A282" s="10">
        <v>46118</v>
      </c>
      <c r="B282" s="56" t="s">
        <v>104</v>
      </c>
      <c r="C282" s="57"/>
      <c r="D282" s="57"/>
      <c r="E282" s="74"/>
      <c r="F282" s="74"/>
      <c r="G282" s="20"/>
      <c r="H282" s="26"/>
      <c r="I282" s="8"/>
      <c r="J282" s="8"/>
      <c r="K282" s="29" t="s">
        <v>81</v>
      </c>
      <c r="L282" s="29" t="s">
        <v>87</v>
      </c>
      <c r="M282" s="29" t="s">
        <v>81</v>
      </c>
    </row>
    <row r="283" spans="1:13" ht="16.25" customHeight="1" x14ac:dyDescent="0.2">
      <c r="A283" s="17">
        <v>46119</v>
      </c>
      <c r="B283" s="64" t="s">
        <v>105</v>
      </c>
      <c r="C283" s="65"/>
      <c r="D283" s="65"/>
      <c r="E283" s="79"/>
      <c r="F283" s="79"/>
      <c r="G283" s="22"/>
      <c r="H283" s="28"/>
      <c r="I283" s="19"/>
      <c r="J283" s="19"/>
      <c r="K283" s="32" t="s">
        <v>81</v>
      </c>
      <c r="L283" s="32"/>
      <c r="M283" s="32"/>
    </row>
    <row r="284" spans="1:13" ht="16.25" customHeight="1" x14ac:dyDescent="0.2">
      <c r="A284" s="7">
        <v>46120</v>
      </c>
      <c r="B284" s="61">
        <v>2</v>
      </c>
      <c r="C284" s="60"/>
      <c r="D284" s="60"/>
      <c r="E284" s="76"/>
      <c r="F284" s="76"/>
      <c r="G284" s="21"/>
      <c r="H284" s="27">
        <f>1+SUM(H268:H274)</f>
        <v>31</v>
      </c>
      <c r="I284" s="5"/>
      <c r="J284" s="5"/>
      <c r="K284" s="29" t="s">
        <v>81</v>
      </c>
      <c r="L284" s="29"/>
      <c r="M284" s="29"/>
    </row>
    <row r="285" spans="1:13" ht="16.25" customHeight="1" x14ac:dyDescent="0.2">
      <c r="A285" s="7">
        <v>46121</v>
      </c>
      <c r="B285" s="61">
        <v>3</v>
      </c>
      <c r="C285" s="60"/>
      <c r="D285" s="60"/>
      <c r="E285" s="76"/>
      <c r="F285" s="76"/>
      <c r="G285" s="21"/>
      <c r="H285" s="27"/>
      <c r="I285" s="5"/>
      <c r="J285" s="5"/>
      <c r="K285" s="29" t="s">
        <v>81</v>
      </c>
      <c r="L285" s="29"/>
      <c r="M285" s="29"/>
    </row>
    <row r="286" spans="1:13" ht="16.25" customHeight="1" x14ac:dyDescent="0.2">
      <c r="A286" s="7">
        <v>46122</v>
      </c>
      <c r="B286" s="61">
        <v>4</v>
      </c>
      <c r="C286" s="60"/>
      <c r="D286" s="60"/>
      <c r="E286" s="76"/>
      <c r="F286" s="76"/>
      <c r="G286" s="21"/>
      <c r="H286" s="27"/>
      <c r="I286" s="5"/>
      <c r="J286" s="5"/>
      <c r="K286" s="29" t="s">
        <v>81</v>
      </c>
      <c r="L286" s="29"/>
      <c r="M286" s="29"/>
    </row>
    <row r="287" spans="1:13" ht="16.25" customHeight="1" x14ac:dyDescent="0.2">
      <c r="A287" s="10">
        <v>46123</v>
      </c>
      <c r="B287" s="56" t="s">
        <v>20</v>
      </c>
      <c r="C287" s="57"/>
      <c r="D287" s="57"/>
      <c r="E287" s="74"/>
      <c r="F287" s="74"/>
      <c r="G287" s="20"/>
      <c r="H287" s="26"/>
      <c r="I287" s="8"/>
      <c r="J287" s="8"/>
      <c r="K287" s="29" t="s">
        <v>81</v>
      </c>
      <c r="L287" s="29"/>
      <c r="M287" s="29"/>
    </row>
    <row r="288" spans="1:13" ht="16.25" customHeight="1" x14ac:dyDescent="0.2">
      <c r="A288" s="10">
        <v>46124</v>
      </c>
      <c r="B288" s="56" t="s">
        <v>20</v>
      </c>
      <c r="C288" s="57"/>
      <c r="D288" s="57"/>
      <c r="E288" s="74"/>
      <c r="F288" s="74"/>
      <c r="G288" s="20"/>
      <c r="H288" s="26"/>
      <c r="I288" s="8"/>
      <c r="J288" s="8"/>
      <c r="K288" s="29" t="s">
        <v>81</v>
      </c>
      <c r="L288" s="29"/>
      <c r="M288" s="29"/>
    </row>
    <row r="289" spans="1:13" ht="16.25" customHeight="1" x14ac:dyDescent="0.2">
      <c r="A289" s="7">
        <v>46125</v>
      </c>
      <c r="B289" s="61">
        <v>5</v>
      </c>
      <c r="C289" s="60"/>
      <c r="D289" s="60"/>
      <c r="E289" s="76"/>
      <c r="F289" s="76"/>
      <c r="G289" s="21"/>
      <c r="H289" s="27">
        <f>1+SUM(H280:H286)</f>
        <v>32</v>
      </c>
      <c r="I289" s="5"/>
      <c r="J289" s="5"/>
      <c r="K289" s="29" t="s">
        <v>65</v>
      </c>
      <c r="L289" s="29"/>
      <c r="M289" s="29"/>
    </row>
    <row r="290" spans="1:13" ht="16.25" customHeight="1" x14ac:dyDescent="0.2">
      <c r="A290" s="7">
        <v>46126</v>
      </c>
      <c r="B290" s="61">
        <v>6</v>
      </c>
      <c r="C290" s="60"/>
      <c r="D290" s="60"/>
      <c r="E290" s="76"/>
      <c r="F290" s="76"/>
      <c r="G290" s="21">
        <v>22</v>
      </c>
      <c r="H290" s="27"/>
      <c r="I290" s="5"/>
      <c r="J290" s="5"/>
      <c r="K290" s="29" t="s">
        <v>88</v>
      </c>
      <c r="L290" s="29"/>
      <c r="M290" s="29"/>
    </row>
    <row r="291" spans="1:13" ht="16.25" customHeight="1" x14ac:dyDescent="0.2">
      <c r="A291" s="7">
        <v>46127</v>
      </c>
      <c r="B291" s="61">
        <v>1</v>
      </c>
      <c r="C291" s="60"/>
      <c r="D291" s="60"/>
      <c r="E291" s="76"/>
      <c r="F291" s="76"/>
      <c r="G291" s="21"/>
      <c r="H291" s="27"/>
      <c r="I291" s="5"/>
      <c r="J291" s="5"/>
      <c r="K291" s="29"/>
      <c r="L291" s="29"/>
      <c r="M291" s="29"/>
    </row>
    <row r="292" spans="1:13" ht="16.25" customHeight="1" x14ac:dyDescent="0.2">
      <c r="A292" s="7">
        <v>46128</v>
      </c>
      <c r="B292" s="61">
        <v>2</v>
      </c>
      <c r="C292" s="60"/>
      <c r="D292" s="60"/>
      <c r="E292" s="76"/>
      <c r="F292" s="76"/>
      <c r="G292" s="21"/>
      <c r="H292" s="27"/>
      <c r="I292" s="5"/>
      <c r="J292" s="5"/>
      <c r="K292" s="29"/>
      <c r="L292" s="29"/>
      <c r="M292" s="29"/>
    </row>
    <row r="293" spans="1:13" ht="16.25" customHeight="1" x14ac:dyDescent="0.2">
      <c r="A293" s="46">
        <v>46129</v>
      </c>
      <c r="B293" s="66" t="s">
        <v>51</v>
      </c>
      <c r="C293" s="67" t="s">
        <v>106</v>
      </c>
      <c r="D293" s="67"/>
      <c r="E293" s="80"/>
      <c r="F293" s="80"/>
      <c r="G293" s="48"/>
      <c r="H293" s="49"/>
      <c r="I293" s="50"/>
      <c r="J293" s="50"/>
      <c r="K293" s="51"/>
      <c r="L293" s="51"/>
      <c r="M293" s="51"/>
    </row>
    <row r="294" spans="1:13" ht="16.25" customHeight="1" x14ac:dyDescent="0.2">
      <c r="A294" s="10">
        <v>46130</v>
      </c>
      <c r="B294" s="56" t="s">
        <v>20</v>
      </c>
      <c r="C294" s="57"/>
      <c r="D294" s="57"/>
      <c r="E294" s="74"/>
      <c r="F294" s="74"/>
      <c r="G294" s="20"/>
      <c r="H294" s="26"/>
      <c r="I294" s="8"/>
      <c r="J294" s="8"/>
      <c r="K294" s="29"/>
      <c r="L294" s="29"/>
      <c r="M294" s="29"/>
    </row>
    <row r="295" spans="1:13" ht="16.25" customHeight="1" x14ac:dyDescent="0.2">
      <c r="A295" s="10">
        <v>46131</v>
      </c>
      <c r="B295" s="56" t="s">
        <v>20</v>
      </c>
      <c r="C295" s="57"/>
      <c r="D295" s="57"/>
      <c r="E295" s="74"/>
      <c r="F295" s="74"/>
      <c r="G295" s="20"/>
      <c r="H295" s="26"/>
      <c r="I295" s="8"/>
      <c r="J295" s="8"/>
      <c r="K295" s="29"/>
      <c r="L295" s="29"/>
      <c r="M295" s="29"/>
    </row>
    <row r="296" spans="1:13" ht="16.25" customHeight="1" x14ac:dyDescent="0.2">
      <c r="A296" s="7">
        <v>46132</v>
      </c>
      <c r="B296" s="61">
        <v>3</v>
      </c>
      <c r="C296" s="60"/>
      <c r="D296" s="60"/>
      <c r="E296" s="76"/>
      <c r="F296" s="76"/>
      <c r="G296" s="21"/>
      <c r="H296" s="27">
        <f>1+SUM(H287:H293)</f>
        <v>33</v>
      </c>
      <c r="I296" s="5"/>
      <c r="J296" s="5"/>
      <c r="K296" s="29"/>
      <c r="L296" s="29"/>
      <c r="M296" s="29"/>
    </row>
    <row r="297" spans="1:13" ht="16.25" customHeight="1" x14ac:dyDescent="0.2">
      <c r="A297" s="7">
        <v>46133</v>
      </c>
      <c r="B297" s="61">
        <v>4</v>
      </c>
      <c r="C297" s="60"/>
      <c r="D297" s="60"/>
      <c r="E297" s="76"/>
      <c r="F297" s="76"/>
      <c r="G297" s="21"/>
      <c r="H297" s="27"/>
      <c r="I297" s="5"/>
      <c r="J297" s="5"/>
      <c r="K297" s="29"/>
      <c r="L297" s="29"/>
      <c r="M297" s="29"/>
    </row>
    <row r="298" spans="1:13" ht="16.25" customHeight="1" x14ac:dyDescent="0.2">
      <c r="A298" s="7">
        <v>46134</v>
      </c>
      <c r="B298" s="61">
        <v>5</v>
      </c>
      <c r="C298" s="60"/>
      <c r="D298" s="60"/>
      <c r="E298" s="76"/>
      <c r="F298" s="76"/>
      <c r="G298" s="21"/>
      <c r="H298" s="27"/>
      <c r="I298" s="5"/>
      <c r="J298" s="5"/>
      <c r="K298" s="29"/>
      <c r="L298" s="29"/>
      <c r="M298" s="29"/>
    </row>
    <row r="299" spans="1:13" ht="16.25" customHeight="1" x14ac:dyDescent="0.2">
      <c r="A299" s="7">
        <v>46135</v>
      </c>
      <c r="B299" s="61">
        <v>6</v>
      </c>
      <c r="C299" s="60"/>
      <c r="D299" s="60"/>
      <c r="E299" s="76"/>
      <c r="F299" s="76"/>
      <c r="G299" s="21">
        <v>23</v>
      </c>
      <c r="H299" s="27"/>
      <c r="I299" s="5"/>
      <c r="J299" s="5"/>
      <c r="K299" s="29"/>
      <c r="L299" s="29"/>
      <c r="M299" s="29"/>
    </row>
    <row r="300" spans="1:13" ht="16.25" customHeight="1" x14ac:dyDescent="0.2">
      <c r="A300" s="7">
        <v>46136</v>
      </c>
      <c r="B300" s="61">
        <v>1</v>
      </c>
      <c r="C300" s="60"/>
      <c r="D300" s="60"/>
      <c r="E300" s="76"/>
      <c r="F300" s="76"/>
      <c r="G300" s="21"/>
      <c r="H300" s="27"/>
      <c r="I300" s="5"/>
      <c r="J300" s="5"/>
      <c r="K300" s="29"/>
      <c r="L300" s="29"/>
      <c r="M300" s="29"/>
    </row>
    <row r="301" spans="1:13" ht="16.25" customHeight="1" x14ac:dyDescent="0.2">
      <c r="A301" s="10">
        <v>46137</v>
      </c>
      <c r="B301" s="56" t="s">
        <v>20</v>
      </c>
      <c r="C301" s="57"/>
      <c r="D301" s="57"/>
      <c r="E301" s="74"/>
      <c r="F301" s="74"/>
      <c r="G301" s="20"/>
      <c r="H301" s="26"/>
      <c r="I301" s="8"/>
      <c r="J301" s="8"/>
      <c r="K301" s="29"/>
      <c r="L301" s="29"/>
      <c r="M301" s="29"/>
    </row>
    <row r="302" spans="1:13" ht="16.25" customHeight="1" x14ac:dyDescent="0.2">
      <c r="A302" s="10">
        <v>46138</v>
      </c>
      <c r="B302" s="56" t="s">
        <v>20</v>
      </c>
      <c r="C302" s="57"/>
      <c r="D302" s="57"/>
      <c r="E302" s="74"/>
      <c r="F302" s="74"/>
      <c r="G302" s="20"/>
      <c r="H302" s="26"/>
      <c r="I302" s="8"/>
      <c r="J302" s="8"/>
      <c r="K302" s="29"/>
      <c r="L302" s="29"/>
      <c r="M302" s="29"/>
    </row>
    <row r="303" spans="1:13" ht="16.25" customHeight="1" x14ac:dyDescent="0.2">
      <c r="A303" s="7">
        <v>46139</v>
      </c>
      <c r="B303" s="61">
        <v>2</v>
      </c>
      <c r="C303" s="60"/>
      <c r="D303" s="60"/>
      <c r="E303" s="76"/>
      <c r="F303" s="76"/>
      <c r="G303" s="21"/>
      <c r="H303" s="27">
        <f>1+SUM(H294:H300)</f>
        <v>34</v>
      </c>
      <c r="I303" s="5"/>
      <c r="J303" s="5"/>
      <c r="K303" s="29"/>
      <c r="L303" s="29"/>
      <c r="M303" s="29"/>
    </row>
    <row r="304" spans="1:13" ht="16.25" customHeight="1" x14ac:dyDescent="0.2">
      <c r="A304" s="7">
        <v>46140</v>
      </c>
      <c r="B304" s="61">
        <v>3</v>
      </c>
      <c r="C304" s="60"/>
      <c r="D304" s="60"/>
      <c r="E304" s="76"/>
      <c r="F304" s="76"/>
      <c r="G304" s="21"/>
      <c r="H304" s="27"/>
      <c r="I304" s="5"/>
      <c r="J304" s="5"/>
      <c r="K304" s="29"/>
      <c r="L304" s="29"/>
      <c r="M304" s="29"/>
    </row>
    <row r="305" spans="1:13" ht="16.25" customHeight="1" x14ac:dyDescent="0.2">
      <c r="A305" s="7">
        <v>46141</v>
      </c>
      <c r="B305" s="61">
        <v>4</v>
      </c>
      <c r="C305" s="60"/>
      <c r="D305" s="60"/>
      <c r="E305" s="76"/>
      <c r="F305" s="76"/>
      <c r="G305" s="21"/>
      <c r="H305" s="27"/>
      <c r="I305" s="5"/>
      <c r="J305" s="5"/>
      <c r="K305" s="29"/>
      <c r="L305" s="29"/>
      <c r="M305" s="29"/>
    </row>
    <row r="306" spans="1:13" ht="16.25" customHeight="1" x14ac:dyDescent="0.2">
      <c r="A306" s="7">
        <v>46142</v>
      </c>
      <c r="B306" s="61">
        <v>5</v>
      </c>
      <c r="C306" s="60"/>
      <c r="D306" s="60"/>
      <c r="E306" s="76"/>
      <c r="F306" s="76"/>
      <c r="G306" s="21"/>
      <c r="H306" s="27"/>
      <c r="I306" s="5"/>
      <c r="J306" s="5"/>
      <c r="K306" s="29"/>
      <c r="L306" s="29"/>
      <c r="M306" s="29"/>
    </row>
    <row r="307" spans="1:13" ht="16.25" customHeight="1" x14ac:dyDescent="0.2">
      <c r="A307" s="10">
        <v>46143</v>
      </c>
      <c r="B307" s="56" t="s">
        <v>17</v>
      </c>
      <c r="C307" s="57"/>
      <c r="D307" s="57"/>
      <c r="E307" s="74"/>
      <c r="F307" s="74"/>
      <c r="G307" s="20"/>
      <c r="H307" s="26"/>
      <c r="I307" s="8"/>
      <c r="J307" s="8"/>
      <c r="K307" s="29"/>
      <c r="L307" s="29"/>
      <c r="M307" s="29"/>
    </row>
    <row r="308" spans="1:13" ht="16.25" customHeight="1" x14ac:dyDescent="0.2">
      <c r="A308" s="10">
        <v>46144</v>
      </c>
      <c r="B308" s="56" t="s">
        <v>20</v>
      </c>
      <c r="C308" s="57"/>
      <c r="D308" s="57"/>
      <c r="E308" s="74"/>
      <c r="F308" s="74"/>
      <c r="G308" s="20"/>
      <c r="H308" s="26"/>
      <c r="I308" s="8"/>
      <c r="J308" s="8"/>
      <c r="K308" s="29"/>
      <c r="L308" s="29"/>
      <c r="M308" s="29"/>
    </row>
    <row r="309" spans="1:13" ht="16.25" customHeight="1" x14ac:dyDescent="0.2">
      <c r="A309" s="10">
        <v>46145</v>
      </c>
      <c r="B309" s="56" t="s">
        <v>20</v>
      </c>
      <c r="C309" s="57"/>
      <c r="D309" s="57"/>
      <c r="E309" s="74"/>
      <c r="F309" s="74"/>
      <c r="G309" s="20"/>
      <c r="H309" s="26"/>
      <c r="I309" s="8"/>
      <c r="J309" s="8"/>
      <c r="K309" s="29"/>
      <c r="L309" s="29"/>
      <c r="M309" s="29"/>
    </row>
    <row r="310" spans="1:13" ht="16.25" customHeight="1" x14ac:dyDescent="0.2">
      <c r="A310" s="7">
        <v>46146</v>
      </c>
      <c r="B310" s="61">
        <v>6</v>
      </c>
      <c r="C310" s="60"/>
      <c r="D310" s="60"/>
      <c r="E310" s="76"/>
      <c r="F310" s="76"/>
      <c r="G310" s="21">
        <v>24</v>
      </c>
      <c r="H310" s="27">
        <f>1+SUM(H301:H307)</f>
        <v>35</v>
      </c>
      <c r="I310" s="5"/>
      <c r="J310" s="5"/>
      <c r="K310" s="29"/>
      <c r="L310" s="29"/>
      <c r="M310" s="29"/>
    </row>
    <row r="311" spans="1:13" ht="16.25" customHeight="1" x14ac:dyDescent="0.2">
      <c r="A311" s="7">
        <v>46147</v>
      </c>
      <c r="B311" s="61">
        <v>1</v>
      </c>
      <c r="C311" s="60"/>
      <c r="D311" s="60"/>
      <c r="E311" s="76"/>
      <c r="F311" s="76"/>
      <c r="G311" s="21"/>
      <c r="H311" s="27"/>
      <c r="I311" s="5"/>
      <c r="J311" s="5"/>
      <c r="K311" s="29"/>
      <c r="L311" s="29"/>
      <c r="M311" s="29"/>
    </row>
    <row r="312" spans="1:13" ht="16.25" customHeight="1" x14ac:dyDescent="0.2">
      <c r="A312" s="7">
        <v>46148</v>
      </c>
      <c r="B312" s="61">
        <v>2</v>
      </c>
      <c r="C312" s="60"/>
      <c r="D312" s="60"/>
      <c r="E312" s="76"/>
      <c r="F312" s="76"/>
      <c r="G312" s="21"/>
      <c r="H312" s="27"/>
      <c r="I312" s="5"/>
      <c r="J312" s="5"/>
      <c r="K312" s="29"/>
      <c r="L312" s="29"/>
      <c r="M312" s="29"/>
    </row>
    <row r="313" spans="1:13" ht="16.25" customHeight="1" x14ac:dyDescent="0.2">
      <c r="A313" s="7">
        <v>46149</v>
      </c>
      <c r="B313" s="61">
        <v>3</v>
      </c>
      <c r="C313" s="60"/>
      <c r="D313" s="60"/>
      <c r="E313" s="76"/>
      <c r="F313" s="76"/>
      <c r="G313" s="21"/>
      <c r="H313" s="27"/>
      <c r="I313" s="5"/>
      <c r="J313" s="5"/>
      <c r="K313" s="29"/>
      <c r="L313" s="29"/>
      <c r="M313" s="29"/>
    </row>
    <row r="314" spans="1:13" ht="16.25" customHeight="1" x14ac:dyDescent="0.2">
      <c r="A314" s="7">
        <v>46150</v>
      </c>
      <c r="B314" s="61">
        <v>4</v>
      </c>
      <c r="C314" s="60"/>
      <c r="D314" s="60"/>
      <c r="E314" s="76"/>
      <c r="F314" s="76"/>
      <c r="G314" s="21"/>
      <c r="H314" s="27"/>
      <c r="I314" s="5"/>
      <c r="J314" s="5"/>
      <c r="K314" s="29"/>
      <c r="L314" s="29"/>
      <c r="M314" s="29"/>
    </row>
    <row r="315" spans="1:13" ht="16.25" customHeight="1" x14ac:dyDescent="0.2">
      <c r="A315" s="10">
        <v>46151</v>
      </c>
      <c r="B315" s="56" t="s">
        <v>20</v>
      </c>
      <c r="C315" s="57"/>
      <c r="D315" s="57"/>
      <c r="E315" s="74"/>
      <c r="F315" s="74"/>
      <c r="G315" s="20"/>
      <c r="H315" s="26"/>
      <c r="I315" s="8"/>
      <c r="J315" s="8"/>
      <c r="K315" s="29"/>
      <c r="L315" s="29"/>
      <c r="M315" s="29"/>
    </row>
    <row r="316" spans="1:13" ht="16.25" customHeight="1" x14ac:dyDescent="0.2">
      <c r="A316" s="10">
        <v>46152</v>
      </c>
      <c r="B316" s="56" t="s">
        <v>20</v>
      </c>
      <c r="C316" s="57"/>
      <c r="D316" s="57"/>
      <c r="E316" s="74"/>
      <c r="F316" s="74"/>
      <c r="G316" s="20"/>
      <c r="H316" s="26"/>
      <c r="I316" s="8"/>
      <c r="J316" s="8"/>
      <c r="K316" s="29"/>
      <c r="L316" s="29"/>
      <c r="M316" s="29"/>
    </row>
    <row r="317" spans="1:13" ht="16.25" customHeight="1" x14ac:dyDescent="0.2">
      <c r="A317" s="7">
        <v>46153</v>
      </c>
      <c r="B317" s="61">
        <v>5</v>
      </c>
      <c r="C317" s="60"/>
      <c r="D317" s="60"/>
      <c r="E317" s="76"/>
      <c r="F317" s="76"/>
      <c r="G317" s="21"/>
      <c r="H317" s="27">
        <f>1+SUM(H308:H314)</f>
        <v>36</v>
      </c>
      <c r="I317" s="5"/>
      <c r="J317" s="5"/>
      <c r="K317" s="29"/>
      <c r="L317" s="29"/>
      <c r="M317" s="29"/>
    </row>
    <row r="318" spans="1:13" ht="16.25" customHeight="1" x14ac:dyDescent="0.2">
      <c r="A318" s="7">
        <v>46154</v>
      </c>
      <c r="B318" s="61">
        <v>6</v>
      </c>
      <c r="C318" s="60"/>
      <c r="D318" s="60"/>
      <c r="E318" s="76"/>
      <c r="F318" s="76"/>
      <c r="G318" s="21">
        <v>25</v>
      </c>
      <c r="H318" s="27"/>
      <c r="I318" s="5"/>
      <c r="J318" s="5"/>
      <c r="K318" s="29"/>
      <c r="L318" s="29"/>
      <c r="M318" s="29"/>
    </row>
    <row r="319" spans="1:13" ht="16.25" customHeight="1" x14ac:dyDescent="0.2">
      <c r="A319" s="7">
        <v>46155</v>
      </c>
      <c r="B319" s="61">
        <v>1</v>
      </c>
      <c r="C319" s="60"/>
      <c r="D319" s="60"/>
      <c r="E319" s="76"/>
      <c r="F319" s="76"/>
      <c r="G319" s="21"/>
      <c r="H319" s="27"/>
      <c r="I319" s="5"/>
      <c r="J319" s="5"/>
      <c r="K319" s="29"/>
      <c r="L319" s="29"/>
      <c r="M319" s="29"/>
    </row>
    <row r="320" spans="1:13" ht="16.25" customHeight="1" x14ac:dyDescent="0.2">
      <c r="A320" s="7">
        <v>46156</v>
      </c>
      <c r="B320" s="61">
        <v>2</v>
      </c>
      <c r="C320" s="60"/>
      <c r="D320" s="60"/>
      <c r="E320" s="76"/>
      <c r="F320" s="76"/>
      <c r="G320" s="21"/>
      <c r="H320" s="27"/>
      <c r="I320" s="5"/>
      <c r="J320" s="5"/>
      <c r="K320" s="29"/>
      <c r="L320" s="29"/>
      <c r="M320" s="29"/>
    </row>
    <row r="321" spans="1:13" ht="16.25" customHeight="1" x14ac:dyDescent="0.2">
      <c r="A321" s="10">
        <v>46157</v>
      </c>
      <c r="B321" s="56" t="s">
        <v>109</v>
      </c>
      <c r="C321" s="57"/>
      <c r="D321" s="57"/>
      <c r="E321" s="74"/>
      <c r="F321" s="74"/>
      <c r="G321" s="20"/>
      <c r="H321" s="26"/>
      <c r="I321" s="8"/>
      <c r="J321" s="8"/>
      <c r="K321" s="29"/>
      <c r="L321" s="29"/>
      <c r="M321" s="29"/>
    </row>
    <row r="322" spans="1:13" ht="16.25" customHeight="1" x14ac:dyDescent="0.2">
      <c r="A322" s="10">
        <v>46158</v>
      </c>
      <c r="B322" s="56" t="s">
        <v>20</v>
      </c>
      <c r="C322" s="57"/>
      <c r="D322" s="57"/>
      <c r="E322" s="74"/>
      <c r="F322" s="74"/>
      <c r="G322" s="20"/>
      <c r="H322" s="26"/>
      <c r="I322" s="8"/>
      <c r="J322" s="8"/>
      <c r="K322" s="29"/>
      <c r="L322" s="29"/>
      <c r="M322" s="29"/>
    </row>
    <row r="323" spans="1:13" ht="16.25" customHeight="1" x14ac:dyDescent="0.2">
      <c r="A323" s="10">
        <v>46159</v>
      </c>
      <c r="B323" s="56" t="s">
        <v>20</v>
      </c>
      <c r="C323" s="57"/>
      <c r="D323" s="57"/>
      <c r="E323" s="74"/>
      <c r="F323" s="74"/>
      <c r="G323" s="20"/>
      <c r="H323" s="26"/>
      <c r="I323" s="8"/>
      <c r="J323" s="8"/>
      <c r="K323" s="29"/>
      <c r="L323" s="29"/>
      <c r="M323" s="29"/>
    </row>
    <row r="324" spans="1:13" ht="16.25" customHeight="1" x14ac:dyDescent="0.2">
      <c r="A324" s="10">
        <v>46160</v>
      </c>
      <c r="B324" s="56" t="s">
        <v>17</v>
      </c>
      <c r="C324" s="57"/>
      <c r="D324" s="57"/>
      <c r="E324" s="74"/>
      <c r="F324" s="74"/>
      <c r="G324" s="20"/>
      <c r="H324" s="26"/>
      <c r="I324" s="8"/>
      <c r="J324" s="8"/>
      <c r="K324" s="29"/>
      <c r="L324" s="29"/>
      <c r="M324" s="29"/>
    </row>
    <row r="325" spans="1:13" ht="16.25" customHeight="1" x14ac:dyDescent="0.2">
      <c r="A325" s="7">
        <v>46161</v>
      </c>
      <c r="B325" s="61">
        <v>3</v>
      </c>
      <c r="C325" s="60"/>
      <c r="D325" s="60"/>
      <c r="E325" s="76"/>
      <c r="F325" s="76"/>
      <c r="G325" s="21"/>
      <c r="H325" s="27">
        <f>1+SUM(H316:H322)</f>
        <v>37</v>
      </c>
      <c r="I325" s="5"/>
      <c r="J325" s="5"/>
      <c r="K325" s="29"/>
      <c r="L325" s="29"/>
      <c r="M325" s="29"/>
    </row>
    <row r="326" spans="1:13" ht="16.25" customHeight="1" x14ac:dyDescent="0.2">
      <c r="A326" s="7">
        <v>46162</v>
      </c>
      <c r="B326" s="61">
        <v>4</v>
      </c>
      <c r="C326" s="60"/>
      <c r="D326" s="60"/>
      <c r="E326" s="76"/>
      <c r="F326" s="76"/>
      <c r="G326" s="21"/>
      <c r="H326" s="27"/>
      <c r="I326" s="5"/>
      <c r="J326" s="5"/>
      <c r="K326" s="29"/>
      <c r="L326" s="29"/>
      <c r="M326" s="29"/>
    </row>
    <row r="327" spans="1:13" ht="16.25" customHeight="1" x14ac:dyDescent="0.2">
      <c r="A327" s="7">
        <v>46163</v>
      </c>
      <c r="B327" s="61">
        <v>5</v>
      </c>
      <c r="C327" s="60"/>
      <c r="D327" s="60"/>
      <c r="E327" s="76"/>
      <c r="F327" s="76"/>
      <c r="G327" s="21"/>
      <c r="H327" s="27"/>
      <c r="I327" s="5"/>
      <c r="J327" s="5"/>
      <c r="K327" s="29"/>
      <c r="L327" s="29"/>
      <c r="M327" s="29"/>
    </row>
    <row r="328" spans="1:13" ht="16.25" customHeight="1" x14ac:dyDescent="0.2">
      <c r="A328" s="7">
        <v>46164</v>
      </c>
      <c r="B328" s="58" t="s">
        <v>51</v>
      </c>
      <c r="C328" s="60" t="s">
        <v>112</v>
      </c>
      <c r="D328" s="60"/>
      <c r="E328" s="76"/>
      <c r="F328" s="76"/>
      <c r="G328" s="21"/>
      <c r="H328" s="27"/>
      <c r="I328" s="5"/>
      <c r="J328" s="5"/>
      <c r="K328" s="29"/>
      <c r="L328" s="29"/>
      <c r="M328" s="29"/>
    </row>
    <row r="329" spans="1:13" ht="16.25" customHeight="1" x14ac:dyDescent="0.2">
      <c r="A329" s="10">
        <v>46165</v>
      </c>
      <c r="B329" s="56" t="s">
        <v>20</v>
      </c>
      <c r="C329" s="57"/>
      <c r="D329" s="57"/>
      <c r="E329" s="74"/>
      <c r="F329" s="74"/>
      <c r="G329" s="20"/>
      <c r="H329" s="26"/>
      <c r="I329" s="8"/>
      <c r="J329" s="8"/>
      <c r="K329" s="29"/>
      <c r="L329" s="29"/>
      <c r="M329" s="29"/>
    </row>
    <row r="330" spans="1:13" ht="16.25" customHeight="1" x14ac:dyDescent="0.2">
      <c r="A330" s="10">
        <v>46166</v>
      </c>
      <c r="B330" s="56" t="s">
        <v>20</v>
      </c>
      <c r="C330" s="57"/>
      <c r="D330" s="57"/>
      <c r="E330" s="74"/>
      <c r="F330" s="74"/>
      <c r="G330" s="20"/>
      <c r="H330" s="26"/>
      <c r="I330" s="8"/>
      <c r="J330" s="8"/>
      <c r="K330" s="29"/>
      <c r="L330" s="29"/>
      <c r="M330" s="29"/>
    </row>
    <row r="331" spans="1:13" ht="16.25" customHeight="1" x14ac:dyDescent="0.2">
      <c r="A331" s="7">
        <v>46167</v>
      </c>
      <c r="B331" s="61">
        <v>6</v>
      </c>
      <c r="C331" s="60" t="s">
        <v>77</v>
      </c>
      <c r="D331" s="60"/>
      <c r="E331" s="76"/>
      <c r="F331" s="76"/>
      <c r="G331" s="21">
        <v>26</v>
      </c>
      <c r="H331" s="27">
        <f>1+SUM(H322:H328)</f>
        <v>38</v>
      </c>
      <c r="I331" s="5"/>
      <c r="J331" s="5"/>
      <c r="K331" s="29"/>
      <c r="L331" s="29"/>
      <c r="M331" s="29"/>
    </row>
    <row r="332" spans="1:13" ht="16.25" customHeight="1" x14ac:dyDescent="0.2">
      <c r="A332" s="7">
        <v>46168</v>
      </c>
      <c r="B332" s="61">
        <v>1</v>
      </c>
      <c r="C332" s="60" t="s">
        <v>77</v>
      </c>
      <c r="D332" s="60"/>
      <c r="E332" s="76"/>
      <c r="F332" s="76"/>
      <c r="G332" s="21"/>
      <c r="H332" s="27"/>
      <c r="I332" s="5"/>
      <c r="J332" s="5"/>
      <c r="K332" s="29"/>
      <c r="L332" s="29"/>
      <c r="M332" s="29"/>
    </row>
    <row r="333" spans="1:13" ht="16.25" customHeight="1" x14ac:dyDescent="0.2">
      <c r="A333" s="7">
        <v>46169</v>
      </c>
      <c r="B333" s="61">
        <v>2</v>
      </c>
      <c r="C333" s="60" t="s">
        <v>77</v>
      </c>
      <c r="D333" s="60"/>
      <c r="E333" s="76"/>
      <c r="F333" s="76"/>
      <c r="G333" s="21"/>
      <c r="H333" s="27"/>
      <c r="I333" s="5"/>
      <c r="J333" s="5"/>
      <c r="K333" s="29"/>
      <c r="L333" s="29"/>
      <c r="M333" s="29"/>
    </row>
    <row r="334" spans="1:13" ht="16.25" customHeight="1" x14ac:dyDescent="0.2">
      <c r="A334" s="7">
        <v>46170</v>
      </c>
      <c r="B334" s="61">
        <v>3</v>
      </c>
      <c r="C334" s="60" t="s">
        <v>77</v>
      </c>
      <c r="D334" s="60"/>
      <c r="E334" s="76"/>
      <c r="F334" s="76"/>
      <c r="G334" s="21"/>
      <c r="H334" s="27"/>
      <c r="I334" s="5"/>
      <c r="J334" s="5"/>
      <c r="K334" s="29"/>
      <c r="L334" s="29"/>
      <c r="M334" s="29"/>
    </row>
    <row r="335" spans="1:13" ht="16.25" customHeight="1" x14ac:dyDescent="0.2">
      <c r="A335" s="7">
        <v>46171</v>
      </c>
      <c r="B335" s="61">
        <v>4</v>
      </c>
      <c r="C335" s="60" t="s">
        <v>77</v>
      </c>
      <c r="D335" s="60"/>
      <c r="E335" s="76"/>
      <c r="F335" s="76"/>
      <c r="G335" s="21"/>
      <c r="H335" s="27"/>
      <c r="I335" s="5"/>
      <c r="J335" s="5"/>
      <c r="K335" s="29"/>
      <c r="L335" s="29"/>
      <c r="M335" s="29"/>
    </row>
    <row r="336" spans="1:13" ht="16.25" customHeight="1" x14ac:dyDescent="0.2">
      <c r="A336" s="10">
        <v>46172</v>
      </c>
      <c r="B336" s="56" t="s">
        <v>20</v>
      </c>
      <c r="C336" s="57"/>
      <c r="D336" s="57"/>
      <c r="E336" s="74"/>
      <c r="F336" s="74"/>
      <c r="G336" s="20"/>
      <c r="H336" s="26"/>
      <c r="I336" s="8"/>
      <c r="J336" s="8"/>
      <c r="K336" s="29"/>
      <c r="L336" s="29"/>
      <c r="M336" s="29"/>
    </row>
    <row r="337" spans="1:13" ht="16.25" customHeight="1" x14ac:dyDescent="0.2">
      <c r="A337" s="10">
        <v>46173</v>
      </c>
      <c r="B337" s="56" t="s">
        <v>20</v>
      </c>
      <c r="C337" s="57"/>
      <c r="D337" s="57"/>
      <c r="E337" s="74"/>
      <c r="F337" s="74"/>
      <c r="G337" s="20"/>
      <c r="H337" s="26"/>
      <c r="I337" s="8"/>
      <c r="J337" s="8"/>
      <c r="K337" s="29"/>
      <c r="L337" s="29"/>
      <c r="M337" s="29"/>
    </row>
    <row r="338" spans="1:13" ht="16.25" customHeight="1" x14ac:dyDescent="0.2">
      <c r="A338" s="7">
        <v>46174</v>
      </c>
      <c r="B338" s="61">
        <v>5</v>
      </c>
      <c r="C338" s="60" t="s">
        <v>77</v>
      </c>
      <c r="D338" s="60"/>
      <c r="E338" s="76"/>
      <c r="F338" s="76"/>
      <c r="G338" s="21"/>
      <c r="H338" s="27">
        <f>1+SUM(H329:H335)</f>
        <v>39</v>
      </c>
      <c r="I338" s="5"/>
      <c r="J338" s="5"/>
      <c r="K338" s="29"/>
      <c r="L338" s="29"/>
      <c r="M338" s="29"/>
    </row>
    <row r="339" spans="1:13" ht="16.25" customHeight="1" x14ac:dyDescent="0.2">
      <c r="A339" s="7">
        <v>46175</v>
      </c>
      <c r="B339" s="61">
        <v>6</v>
      </c>
      <c r="C339" s="60" t="s">
        <v>77</v>
      </c>
      <c r="D339" s="60"/>
      <c r="E339" s="76"/>
      <c r="F339" s="76"/>
      <c r="G339" s="21">
        <v>27</v>
      </c>
      <c r="H339" s="27"/>
      <c r="I339" s="5"/>
      <c r="J339" s="5"/>
      <c r="K339" s="29"/>
      <c r="L339" s="29"/>
      <c r="M339" s="29"/>
    </row>
    <row r="340" spans="1:13" ht="16.25" customHeight="1" x14ac:dyDescent="0.2">
      <c r="A340" s="7">
        <v>46176</v>
      </c>
      <c r="B340" s="61">
        <v>1</v>
      </c>
      <c r="C340" s="69"/>
      <c r="D340" s="60"/>
      <c r="E340" s="76"/>
      <c r="F340" s="76"/>
      <c r="G340" s="21"/>
      <c r="H340" s="27"/>
      <c r="I340" s="5"/>
      <c r="J340" s="5"/>
      <c r="K340" s="29"/>
      <c r="L340" s="29"/>
      <c r="M340" s="29"/>
    </row>
    <row r="341" spans="1:13" ht="16.25" customHeight="1" x14ac:dyDescent="0.2">
      <c r="A341" s="7">
        <v>46177</v>
      </c>
      <c r="B341" s="61">
        <v>2</v>
      </c>
      <c r="C341" s="60"/>
      <c r="D341" s="60"/>
      <c r="E341" s="76"/>
      <c r="F341" s="76"/>
      <c r="G341" s="21"/>
      <c r="H341" s="27"/>
      <c r="I341" s="5"/>
      <c r="J341" s="5"/>
      <c r="K341" s="29"/>
      <c r="L341" s="29"/>
      <c r="M341" s="29"/>
    </row>
    <row r="342" spans="1:13" ht="16.25" customHeight="1" x14ac:dyDescent="0.2">
      <c r="A342" s="7">
        <v>46178</v>
      </c>
      <c r="B342" s="61">
        <v>3</v>
      </c>
      <c r="C342" s="60"/>
      <c r="D342" s="60"/>
      <c r="E342" s="76"/>
      <c r="F342" s="76"/>
      <c r="G342" s="21"/>
      <c r="H342" s="27"/>
      <c r="I342" s="5"/>
      <c r="J342" s="5"/>
      <c r="K342" s="29"/>
      <c r="L342" s="29"/>
      <c r="M342" s="29"/>
    </row>
    <row r="343" spans="1:13" ht="16.25" customHeight="1" x14ac:dyDescent="0.2">
      <c r="A343" s="10">
        <v>46179</v>
      </c>
      <c r="B343" s="56" t="s">
        <v>20</v>
      </c>
      <c r="C343" s="57"/>
      <c r="D343" s="57"/>
      <c r="E343" s="74"/>
      <c r="F343" s="74"/>
      <c r="G343" s="20"/>
      <c r="H343" s="26"/>
      <c r="I343" s="8"/>
      <c r="J343" s="8"/>
      <c r="K343" s="29"/>
      <c r="L343" s="29"/>
      <c r="M343" s="29"/>
    </row>
    <row r="344" spans="1:13" ht="16.25" customHeight="1" x14ac:dyDescent="0.2">
      <c r="A344" s="10">
        <v>46180</v>
      </c>
      <c r="B344" s="56" t="s">
        <v>20</v>
      </c>
      <c r="C344" s="57"/>
      <c r="D344" s="57"/>
      <c r="E344" s="74"/>
      <c r="F344" s="74"/>
      <c r="G344" s="20"/>
      <c r="H344" s="26"/>
      <c r="I344" s="8"/>
      <c r="J344" s="8"/>
      <c r="K344" s="29"/>
      <c r="L344" s="29"/>
      <c r="M344" s="29"/>
    </row>
    <row r="345" spans="1:13" ht="16.25" customHeight="1" x14ac:dyDescent="0.2">
      <c r="A345" s="10">
        <v>46181</v>
      </c>
      <c r="B345" s="56" t="s">
        <v>17</v>
      </c>
      <c r="C345" s="57"/>
      <c r="D345" s="57"/>
      <c r="E345" s="74"/>
      <c r="F345" s="74"/>
      <c r="G345" s="20"/>
      <c r="H345" s="26"/>
      <c r="I345" s="8"/>
      <c r="J345" s="8"/>
      <c r="K345" s="29"/>
      <c r="L345" s="29"/>
      <c r="M345" s="29"/>
    </row>
    <row r="346" spans="1:13" ht="16.25" customHeight="1" x14ac:dyDescent="0.2">
      <c r="A346" s="17">
        <v>46182</v>
      </c>
      <c r="B346" s="64" t="s">
        <v>114</v>
      </c>
      <c r="C346" s="70" t="s">
        <v>115</v>
      </c>
      <c r="D346" s="65"/>
      <c r="E346" s="79"/>
      <c r="F346" s="79"/>
      <c r="G346" s="22"/>
      <c r="H346" s="28">
        <f>1+SUM(H337:H343)</f>
        <v>40</v>
      </c>
      <c r="I346" s="19"/>
      <c r="J346" s="19"/>
      <c r="K346" s="32"/>
      <c r="L346" s="32"/>
      <c r="M346" s="32"/>
    </row>
    <row r="347" spans="1:13" ht="16.25" customHeight="1" x14ac:dyDescent="0.2">
      <c r="A347" s="7">
        <v>46183</v>
      </c>
      <c r="B347" s="61">
        <v>5</v>
      </c>
      <c r="C347" s="69"/>
      <c r="D347" s="60"/>
      <c r="E347" s="76"/>
      <c r="F347" s="76"/>
      <c r="G347" s="21"/>
      <c r="H347" s="27"/>
      <c r="I347" s="5"/>
      <c r="J347" s="5"/>
      <c r="K347" s="29"/>
      <c r="L347" s="29"/>
      <c r="M347" s="29"/>
    </row>
    <row r="348" spans="1:13" ht="16.25" customHeight="1" x14ac:dyDescent="0.2">
      <c r="A348" s="7">
        <v>46184</v>
      </c>
      <c r="B348" s="61">
        <v>6</v>
      </c>
      <c r="C348" s="69" t="s">
        <v>116</v>
      </c>
      <c r="D348" s="60"/>
      <c r="E348" s="76"/>
      <c r="F348" s="76"/>
      <c r="G348" s="21">
        <v>28</v>
      </c>
      <c r="H348" s="27"/>
      <c r="I348" s="5"/>
      <c r="J348" s="5"/>
      <c r="K348" s="29"/>
      <c r="L348" s="29"/>
      <c r="M348" s="29"/>
    </row>
    <row r="349" spans="1:13" ht="16.25" customHeight="1" x14ac:dyDescent="0.2">
      <c r="A349" s="37">
        <v>46185</v>
      </c>
      <c r="B349" s="62">
        <v>1</v>
      </c>
      <c r="C349" s="63" t="s">
        <v>117</v>
      </c>
      <c r="D349" s="63"/>
      <c r="E349" s="78"/>
      <c r="F349" s="78"/>
      <c r="G349" s="40"/>
      <c r="H349" s="41"/>
      <c r="I349" s="42"/>
      <c r="J349" s="42"/>
      <c r="K349" s="43"/>
      <c r="L349" s="43"/>
      <c r="M349" s="43" t="s">
        <v>118</v>
      </c>
    </row>
    <row r="350" spans="1:13" ht="16.25" customHeight="1" x14ac:dyDescent="0.2">
      <c r="A350" s="10">
        <v>46186</v>
      </c>
      <c r="B350" s="56" t="s">
        <v>20</v>
      </c>
      <c r="C350" s="57"/>
      <c r="D350" s="57"/>
      <c r="E350" s="74"/>
      <c r="F350" s="74"/>
      <c r="G350" s="20"/>
      <c r="H350" s="26"/>
      <c r="I350" s="8"/>
      <c r="J350" s="8"/>
      <c r="K350" s="29"/>
      <c r="L350" s="29"/>
      <c r="M350" s="29"/>
    </row>
    <row r="351" spans="1:13" ht="16.25" customHeight="1" x14ac:dyDescent="0.2">
      <c r="A351" s="10">
        <v>46187</v>
      </c>
      <c r="B351" s="56" t="s">
        <v>20</v>
      </c>
      <c r="C351" s="57"/>
      <c r="D351" s="57"/>
      <c r="E351" s="74"/>
      <c r="F351" s="74"/>
      <c r="G351" s="20"/>
      <c r="H351" s="26"/>
      <c r="I351" s="8"/>
      <c r="J351" s="8"/>
      <c r="K351" s="29"/>
      <c r="L351" s="29"/>
      <c r="M351" s="29"/>
    </row>
    <row r="352" spans="1:13" ht="16.25" customHeight="1" x14ac:dyDescent="0.2">
      <c r="A352" s="10">
        <v>46188</v>
      </c>
      <c r="B352" s="56" t="s">
        <v>17</v>
      </c>
      <c r="C352" s="57"/>
      <c r="D352" s="57"/>
      <c r="E352" s="74"/>
      <c r="F352" s="74"/>
      <c r="G352" s="20"/>
      <c r="H352" s="26"/>
      <c r="I352" s="8"/>
      <c r="J352" s="8"/>
      <c r="K352" s="29"/>
      <c r="L352" s="29"/>
      <c r="M352" s="29"/>
    </row>
    <row r="353" spans="1:13" ht="16.25" customHeight="1" x14ac:dyDescent="0.2">
      <c r="A353" s="46">
        <v>46189</v>
      </c>
      <c r="B353" s="66" t="s">
        <v>51</v>
      </c>
      <c r="C353" s="67" t="s">
        <v>119</v>
      </c>
      <c r="D353" s="67"/>
      <c r="E353" s="80"/>
      <c r="F353" s="80"/>
      <c r="G353" s="48"/>
      <c r="H353" s="49"/>
      <c r="I353" s="50"/>
      <c r="J353" s="50"/>
      <c r="K353" s="51"/>
      <c r="L353" s="51"/>
      <c r="M353" s="51" t="s">
        <v>120</v>
      </c>
    </row>
    <row r="354" spans="1:13" ht="16.25" customHeight="1" x14ac:dyDescent="0.2">
      <c r="A354" s="7">
        <v>46190</v>
      </c>
      <c r="B354" s="58" t="s">
        <v>23</v>
      </c>
      <c r="C354" s="60" t="s">
        <v>121</v>
      </c>
      <c r="D354" s="60"/>
      <c r="E354" s="76"/>
      <c r="F354" s="76"/>
      <c r="G354" s="21"/>
      <c r="H354" s="27"/>
      <c r="I354" s="5"/>
      <c r="J354" s="5"/>
      <c r="K354" s="29" t="s">
        <v>122</v>
      </c>
      <c r="L354" s="29" t="s">
        <v>123</v>
      </c>
      <c r="M354" s="29" t="s">
        <v>120</v>
      </c>
    </row>
    <row r="355" spans="1:13" ht="16.25" customHeight="1" x14ac:dyDescent="0.2">
      <c r="A355" s="7">
        <v>46191</v>
      </c>
      <c r="B355" s="58" t="s">
        <v>23</v>
      </c>
      <c r="C355" s="59" t="s">
        <v>124</v>
      </c>
      <c r="D355" s="59"/>
      <c r="E355" s="75"/>
      <c r="F355" s="75"/>
      <c r="G355" s="21"/>
      <c r="H355" s="27"/>
      <c r="I355" s="5"/>
      <c r="J355" s="5"/>
      <c r="K355" s="29"/>
      <c r="L355" s="29" t="s">
        <v>125</v>
      </c>
      <c r="M355" s="29" t="s">
        <v>120</v>
      </c>
    </row>
    <row r="356" spans="1:13" ht="16.25" customHeight="1" x14ac:dyDescent="0.2">
      <c r="A356" s="7">
        <v>46192</v>
      </c>
      <c r="B356" s="58" t="s">
        <v>23</v>
      </c>
      <c r="C356" s="59" t="s">
        <v>126</v>
      </c>
      <c r="D356" s="59"/>
      <c r="E356" s="75"/>
      <c r="F356" s="75"/>
      <c r="G356" s="21"/>
      <c r="H356" s="27"/>
      <c r="I356" s="5"/>
      <c r="J356" s="5"/>
      <c r="K356" s="29"/>
      <c r="L356" s="29" t="s">
        <v>127</v>
      </c>
      <c r="M356" s="29" t="s">
        <v>120</v>
      </c>
    </row>
    <row r="357" spans="1:13" ht="16.25" customHeight="1" x14ac:dyDescent="0.2">
      <c r="A357" s="10">
        <v>46193</v>
      </c>
      <c r="B357" s="56" t="s">
        <v>20</v>
      </c>
      <c r="C357" s="57"/>
      <c r="D357" s="57"/>
      <c r="E357" s="74"/>
      <c r="F357" s="74"/>
      <c r="G357" s="20"/>
      <c r="H357" s="26"/>
      <c r="I357" s="8"/>
      <c r="J357" s="8"/>
      <c r="K357" s="29"/>
      <c r="L357" s="29"/>
      <c r="M357" s="29"/>
    </row>
    <row r="358" spans="1:13" ht="16.25" customHeight="1" x14ac:dyDescent="0.2">
      <c r="A358" s="10">
        <v>46194</v>
      </c>
      <c r="B358" s="56" t="s">
        <v>20</v>
      </c>
      <c r="C358" s="57"/>
      <c r="D358" s="57"/>
      <c r="E358" s="74"/>
      <c r="F358" s="74"/>
      <c r="G358" s="20"/>
      <c r="H358" s="26"/>
      <c r="I358" s="8"/>
      <c r="J358" s="8"/>
      <c r="K358" s="29"/>
      <c r="L358" s="29"/>
      <c r="M358" s="29"/>
    </row>
    <row r="359" spans="1:13" ht="16.25" customHeight="1" x14ac:dyDescent="0.2">
      <c r="A359" s="7">
        <v>46195</v>
      </c>
      <c r="B359" s="58" t="s">
        <v>23</v>
      </c>
      <c r="C359" s="60" t="s">
        <v>124</v>
      </c>
      <c r="D359" s="60"/>
      <c r="E359" s="76"/>
      <c r="F359" s="76"/>
      <c r="G359" s="21"/>
      <c r="H359" s="27"/>
      <c r="I359" s="5"/>
      <c r="J359" s="5"/>
      <c r="K359" s="29"/>
      <c r="L359" s="29"/>
      <c r="M359" s="29"/>
    </row>
    <row r="360" spans="1:13" ht="16.25" customHeight="1" x14ac:dyDescent="0.2">
      <c r="A360" s="7">
        <v>46196</v>
      </c>
      <c r="B360" s="58" t="s">
        <v>23</v>
      </c>
      <c r="C360" s="60" t="s">
        <v>124</v>
      </c>
      <c r="D360" s="60"/>
      <c r="E360" s="76"/>
      <c r="F360" s="76"/>
      <c r="G360" s="21"/>
      <c r="H360" s="27"/>
      <c r="I360" s="5"/>
      <c r="J360" s="5"/>
      <c r="K360" s="29" t="s">
        <v>128</v>
      </c>
      <c r="L360" s="29"/>
      <c r="M360" s="29"/>
    </row>
    <row r="361" spans="1:13" ht="16.25" customHeight="1" x14ac:dyDescent="0.2">
      <c r="A361" s="7">
        <v>46197</v>
      </c>
      <c r="B361" s="58" t="s">
        <v>23</v>
      </c>
      <c r="C361" s="60" t="s">
        <v>124</v>
      </c>
      <c r="D361" s="60"/>
      <c r="E361" s="76"/>
      <c r="F361" s="76"/>
      <c r="G361" s="21"/>
      <c r="H361" s="27"/>
      <c r="I361" s="5"/>
      <c r="J361" s="5"/>
      <c r="K361" s="29" t="s">
        <v>129</v>
      </c>
      <c r="L361" s="29"/>
      <c r="M361" s="29"/>
    </row>
    <row r="362" spans="1:13" ht="16.25" customHeight="1" x14ac:dyDescent="0.2">
      <c r="A362" s="7">
        <v>46198</v>
      </c>
      <c r="B362" s="58" t="s">
        <v>23</v>
      </c>
      <c r="C362" s="60" t="s">
        <v>124</v>
      </c>
      <c r="D362" s="60"/>
      <c r="E362" s="76"/>
      <c r="F362" s="76"/>
      <c r="G362" s="21"/>
      <c r="H362" s="27"/>
      <c r="I362" s="5"/>
      <c r="J362" s="5"/>
      <c r="K362" s="29"/>
      <c r="L362" s="29"/>
      <c r="M362" s="29"/>
    </row>
    <row r="363" spans="1:13" ht="16.25" customHeight="1" x14ac:dyDescent="0.2">
      <c r="A363" s="7">
        <v>46199</v>
      </c>
      <c r="B363" s="58" t="s">
        <v>23</v>
      </c>
      <c r="C363" s="69" t="s">
        <v>130</v>
      </c>
      <c r="D363" s="60"/>
      <c r="E363" s="76"/>
      <c r="F363" s="76"/>
      <c r="G363" s="21"/>
      <c r="H363" s="27"/>
      <c r="I363" s="5"/>
      <c r="J363" s="5"/>
      <c r="K363" s="29"/>
      <c r="L363" s="29"/>
      <c r="M363" s="29"/>
    </row>
    <row r="364" spans="1:13" ht="16.25" customHeight="1" x14ac:dyDescent="0.2">
      <c r="A364" s="10">
        <v>46200</v>
      </c>
      <c r="B364" s="56" t="s">
        <v>20</v>
      </c>
      <c r="C364" s="57"/>
      <c r="D364" s="57"/>
      <c r="E364" s="74"/>
      <c r="F364" s="74"/>
      <c r="G364" s="20"/>
      <c r="H364" s="26"/>
      <c r="I364" s="8"/>
      <c r="J364" s="8"/>
      <c r="K364" s="29"/>
      <c r="L364" s="29"/>
      <c r="M364" s="29"/>
    </row>
    <row r="365" spans="1:13" ht="16.25" customHeight="1" x14ac:dyDescent="0.2">
      <c r="A365" s="10">
        <v>46201</v>
      </c>
      <c r="B365" s="56" t="s">
        <v>20</v>
      </c>
      <c r="C365" s="57"/>
      <c r="D365" s="57"/>
      <c r="E365" s="74"/>
      <c r="F365" s="74"/>
      <c r="G365" s="20"/>
      <c r="H365" s="26"/>
      <c r="I365" s="8"/>
      <c r="J365" s="8"/>
      <c r="K365" s="29"/>
      <c r="L365" s="29"/>
      <c r="M365" s="29"/>
    </row>
    <row r="366" spans="1:13" ht="16.25" customHeight="1" x14ac:dyDescent="0.2">
      <c r="A366" s="10">
        <v>46202</v>
      </c>
      <c r="B366" s="56" t="s">
        <v>17</v>
      </c>
      <c r="C366" s="57"/>
      <c r="D366" s="57"/>
      <c r="E366" s="74"/>
      <c r="F366" s="74"/>
      <c r="G366" s="20"/>
      <c r="H366" s="26"/>
      <c r="I366" s="8"/>
      <c r="J366" s="8"/>
      <c r="K366" s="29"/>
      <c r="L366" s="29"/>
      <c r="M366" s="29"/>
    </row>
    <row r="367" spans="1:13" ht="16.25" customHeight="1" x14ac:dyDescent="0.2">
      <c r="A367" s="7">
        <v>46203</v>
      </c>
      <c r="B367" s="58" t="s">
        <v>23</v>
      </c>
      <c r="C367" s="60" t="s">
        <v>129</v>
      </c>
      <c r="D367" s="60"/>
      <c r="E367" s="76"/>
      <c r="F367" s="76"/>
      <c r="G367" s="21"/>
      <c r="H367" s="27"/>
      <c r="I367" s="5"/>
      <c r="J367" s="5"/>
      <c r="K367" s="29"/>
      <c r="L367" s="29"/>
      <c r="M367" s="29"/>
    </row>
    <row r="368" spans="1:13" ht="16.25" customHeight="1" x14ac:dyDescent="0.2">
      <c r="A368" s="7">
        <v>46204</v>
      </c>
      <c r="B368" s="58" t="s">
        <v>18</v>
      </c>
      <c r="C368" s="59" t="s">
        <v>19</v>
      </c>
      <c r="D368" s="59"/>
      <c r="E368" s="75"/>
      <c r="F368" s="75"/>
      <c r="G368" s="21"/>
      <c r="H368" s="27"/>
      <c r="I368" s="5"/>
      <c r="J368" s="5"/>
      <c r="K368" s="29"/>
      <c r="L368" s="29"/>
      <c r="M368" s="29"/>
    </row>
    <row r="369" spans="1:13" ht="16.25" customHeight="1" x14ac:dyDescent="0.2">
      <c r="A369" s="7">
        <v>46205</v>
      </c>
      <c r="B369" s="58" t="s">
        <v>18</v>
      </c>
      <c r="C369" s="59" t="s">
        <v>19</v>
      </c>
      <c r="D369" s="59"/>
      <c r="E369" s="75"/>
      <c r="F369" s="75"/>
      <c r="G369" s="21"/>
      <c r="H369" s="27"/>
      <c r="I369" s="5"/>
      <c r="J369" s="5"/>
      <c r="K369" s="29"/>
      <c r="L369" s="29"/>
      <c r="M369" s="29"/>
    </row>
    <row r="370" spans="1:13" ht="16.25" customHeight="1" x14ac:dyDescent="0.2">
      <c r="A370" s="7">
        <v>46206</v>
      </c>
      <c r="B370" s="58" t="s">
        <v>18</v>
      </c>
      <c r="C370" s="59" t="s">
        <v>19</v>
      </c>
      <c r="D370" s="59"/>
      <c r="E370" s="75"/>
      <c r="F370" s="75"/>
      <c r="G370" s="21"/>
      <c r="H370" s="27"/>
      <c r="I370" s="5"/>
      <c r="J370" s="5"/>
      <c r="K370" s="29"/>
      <c r="L370" s="29"/>
      <c r="M370" s="29"/>
    </row>
    <row r="371" spans="1:13" ht="16.25" customHeight="1" x14ac:dyDescent="0.2">
      <c r="A371" s="10">
        <v>46207</v>
      </c>
      <c r="B371" s="56" t="s">
        <v>20</v>
      </c>
      <c r="C371" s="57"/>
      <c r="D371" s="57"/>
      <c r="E371" s="74"/>
      <c r="F371" s="74"/>
      <c r="G371" s="20"/>
      <c r="H371" s="26"/>
      <c r="I371" s="8"/>
      <c r="J371" s="8"/>
      <c r="K371" s="29"/>
      <c r="L371" s="29"/>
      <c r="M371" s="29"/>
    </row>
    <row r="372" spans="1:13" ht="16.25" customHeight="1" x14ac:dyDescent="0.2">
      <c r="A372" s="10">
        <v>46208</v>
      </c>
      <c r="B372" s="56" t="s">
        <v>20</v>
      </c>
      <c r="C372" s="57"/>
      <c r="D372" s="57"/>
      <c r="E372" s="74"/>
      <c r="F372" s="74"/>
      <c r="G372" s="20"/>
      <c r="H372" s="26"/>
      <c r="I372" s="8"/>
      <c r="J372" s="8"/>
      <c r="K372" s="29"/>
      <c r="L372" s="29"/>
      <c r="M372" s="29"/>
    </row>
    <row r="373" spans="1:13" ht="16.25" customHeight="1" x14ac:dyDescent="0.2">
      <c r="A373" s="7">
        <v>46209</v>
      </c>
      <c r="B373" s="58" t="s">
        <v>18</v>
      </c>
      <c r="C373" s="59" t="s">
        <v>19</v>
      </c>
      <c r="D373" s="59"/>
      <c r="E373" s="75"/>
      <c r="F373" s="75"/>
      <c r="G373" s="21"/>
      <c r="H373" s="27"/>
      <c r="I373" s="5"/>
      <c r="J373" s="5"/>
      <c r="K373" s="29"/>
      <c r="L373" s="29"/>
      <c r="M373" s="29"/>
    </row>
    <row r="374" spans="1:13" ht="16.25" customHeight="1" x14ac:dyDescent="0.2">
      <c r="A374" s="7">
        <v>46210</v>
      </c>
      <c r="B374" s="58" t="s">
        <v>18</v>
      </c>
      <c r="C374" s="59" t="s">
        <v>19</v>
      </c>
      <c r="D374" s="59"/>
      <c r="E374" s="75"/>
      <c r="F374" s="75"/>
      <c r="G374" s="21"/>
      <c r="H374" s="27"/>
      <c r="I374" s="5"/>
      <c r="J374" s="5"/>
      <c r="K374" s="29"/>
      <c r="L374" s="29"/>
      <c r="M374" s="29"/>
    </row>
    <row r="375" spans="1:13" ht="16.25" customHeight="1" x14ac:dyDescent="0.2">
      <c r="A375" s="7">
        <v>46211</v>
      </c>
      <c r="B375" s="58" t="s">
        <v>18</v>
      </c>
      <c r="C375" s="59" t="s">
        <v>19</v>
      </c>
      <c r="D375" s="59"/>
      <c r="E375" s="75"/>
      <c r="F375" s="75"/>
      <c r="G375" s="21"/>
      <c r="H375" s="27"/>
      <c r="I375" s="5"/>
      <c r="J375" s="5"/>
      <c r="K375" s="29"/>
      <c r="L375" s="29"/>
      <c r="M375" s="29"/>
    </row>
    <row r="376" spans="1:13" ht="16.25" customHeight="1" x14ac:dyDescent="0.2">
      <c r="A376" s="7">
        <v>46212</v>
      </c>
      <c r="B376" s="58" t="s">
        <v>18</v>
      </c>
      <c r="C376" s="59" t="s">
        <v>19</v>
      </c>
      <c r="D376" s="59"/>
      <c r="E376" s="75"/>
      <c r="F376" s="75"/>
      <c r="G376" s="21"/>
      <c r="H376" s="27"/>
      <c r="I376" s="5"/>
      <c r="J376" s="5"/>
      <c r="K376" s="29"/>
      <c r="L376" s="29"/>
      <c r="M376" s="29"/>
    </row>
    <row r="377" spans="1:13" ht="16.25" customHeight="1" x14ac:dyDescent="0.2">
      <c r="A377" s="7">
        <v>46213</v>
      </c>
      <c r="B377" s="58" t="s">
        <v>18</v>
      </c>
      <c r="C377" s="59" t="s">
        <v>19</v>
      </c>
      <c r="D377" s="59"/>
      <c r="E377" s="75"/>
      <c r="F377" s="75"/>
      <c r="G377" s="21"/>
      <c r="H377" s="27"/>
      <c r="I377" s="5"/>
      <c r="J377" s="5"/>
      <c r="K377" s="29"/>
      <c r="L377" s="29"/>
      <c r="M377" s="29"/>
    </row>
    <row r="378" spans="1:13" ht="16.25" customHeight="1" x14ac:dyDescent="0.2">
      <c r="A378" s="10">
        <v>46214</v>
      </c>
      <c r="B378" s="56" t="s">
        <v>20</v>
      </c>
      <c r="C378" s="57"/>
      <c r="D378" s="57"/>
      <c r="E378" s="74"/>
      <c r="F378" s="74"/>
      <c r="G378" s="20"/>
      <c r="H378" s="26"/>
      <c r="I378" s="8"/>
      <c r="J378" s="8"/>
      <c r="K378" s="29"/>
      <c r="L378" s="29"/>
      <c r="M378" s="29"/>
    </row>
    <row r="379" spans="1:13" ht="16.25" customHeight="1" x14ac:dyDescent="0.2">
      <c r="A379" s="10">
        <v>46215</v>
      </c>
      <c r="B379" s="56" t="s">
        <v>20</v>
      </c>
      <c r="C379" s="57"/>
      <c r="D379" s="57"/>
      <c r="E379" s="74"/>
      <c r="F379" s="74"/>
      <c r="G379" s="20"/>
      <c r="H379" s="26"/>
      <c r="I379" s="8"/>
      <c r="J379" s="8"/>
      <c r="K379" s="29"/>
      <c r="L379" s="29"/>
      <c r="M379" s="29"/>
    </row>
    <row r="380" spans="1:13" ht="16.25" customHeight="1" x14ac:dyDescent="0.2">
      <c r="A380" s="7">
        <v>46216</v>
      </c>
      <c r="B380" s="58" t="s">
        <v>18</v>
      </c>
      <c r="C380" s="59" t="s">
        <v>19</v>
      </c>
      <c r="D380" s="59"/>
      <c r="E380" s="75"/>
      <c r="F380" s="75"/>
      <c r="G380" s="21"/>
      <c r="H380" s="27"/>
      <c r="I380" s="5"/>
      <c r="J380" s="5"/>
      <c r="K380" s="29"/>
      <c r="L380" s="29"/>
      <c r="M380" s="29"/>
    </row>
    <row r="381" spans="1:13" ht="16.25" customHeight="1" x14ac:dyDescent="0.2">
      <c r="A381" s="7">
        <v>46217</v>
      </c>
      <c r="B381" s="58" t="s">
        <v>18</v>
      </c>
      <c r="C381" s="59" t="s">
        <v>19</v>
      </c>
      <c r="D381" s="59"/>
      <c r="E381" s="75"/>
      <c r="F381" s="75"/>
      <c r="G381" s="21"/>
      <c r="H381" s="27"/>
      <c r="I381" s="5"/>
      <c r="J381" s="5"/>
      <c r="K381" s="29"/>
      <c r="L381" s="29"/>
      <c r="M381" s="29"/>
    </row>
    <row r="382" spans="1:13" ht="16.25" customHeight="1" x14ac:dyDescent="0.2">
      <c r="A382" s="7">
        <v>46218</v>
      </c>
      <c r="B382" s="58" t="s">
        <v>18</v>
      </c>
      <c r="C382" s="59" t="s">
        <v>19</v>
      </c>
      <c r="D382" s="59"/>
      <c r="E382" s="75"/>
      <c r="F382" s="75"/>
      <c r="G382" s="21"/>
      <c r="H382" s="27"/>
      <c r="I382" s="5"/>
      <c r="J382" s="5"/>
      <c r="K382" s="29"/>
      <c r="L382" s="29"/>
      <c r="M382" s="29"/>
    </row>
    <row r="383" spans="1:13" ht="16.25" customHeight="1" x14ac:dyDescent="0.2">
      <c r="A383" s="7">
        <v>46219</v>
      </c>
      <c r="B383" s="58" t="s">
        <v>18</v>
      </c>
      <c r="C383" s="59" t="s">
        <v>19</v>
      </c>
      <c r="D383" s="59"/>
      <c r="E383" s="75"/>
      <c r="F383" s="75"/>
      <c r="G383" s="21"/>
      <c r="H383" s="27"/>
      <c r="I383" s="5"/>
      <c r="J383" s="5"/>
      <c r="K383" s="29"/>
      <c r="L383" s="29"/>
      <c r="M383" s="29"/>
    </row>
    <row r="384" spans="1:13" ht="16.25" customHeight="1" x14ac:dyDescent="0.2">
      <c r="A384" s="7">
        <v>46220</v>
      </c>
      <c r="B384" s="58" t="s">
        <v>18</v>
      </c>
      <c r="C384" s="59" t="s">
        <v>19</v>
      </c>
      <c r="D384" s="59"/>
      <c r="E384" s="75"/>
      <c r="F384" s="75"/>
      <c r="G384" s="21"/>
      <c r="H384" s="27"/>
      <c r="I384" s="5"/>
      <c r="J384" s="5"/>
      <c r="K384" s="29"/>
      <c r="L384" s="29"/>
      <c r="M384" s="29"/>
    </row>
    <row r="385" spans="1:13" ht="16.25" customHeight="1" x14ac:dyDescent="0.2">
      <c r="A385" s="10">
        <v>46221</v>
      </c>
      <c r="B385" s="56" t="s">
        <v>20</v>
      </c>
      <c r="C385" s="57"/>
      <c r="D385" s="57"/>
      <c r="E385" s="74"/>
      <c r="F385" s="74"/>
      <c r="G385" s="20"/>
      <c r="H385" s="26"/>
      <c r="I385" s="8"/>
      <c r="J385" s="8"/>
      <c r="K385" s="29"/>
      <c r="L385" s="29"/>
      <c r="M385" s="29"/>
    </row>
    <row r="386" spans="1:13" ht="16.25" customHeight="1" x14ac:dyDescent="0.2">
      <c r="A386" s="10">
        <v>46222</v>
      </c>
      <c r="B386" s="56" t="s">
        <v>20</v>
      </c>
      <c r="C386" s="57"/>
      <c r="D386" s="57"/>
      <c r="E386" s="74"/>
      <c r="F386" s="74"/>
      <c r="G386" s="20"/>
      <c r="H386" s="26"/>
      <c r="I386" s="8"/>
      <c r="J386" s="8"/>
      <c r="K386" s="29"/>
      <c r="L386" s="29"/>
      <c r="M386" s="29"/>
    </row>
    <row r="387" spans="1:13" ht="16.25" customHeight="1" x14ac:dyDescent="0.2">
      <c r="A387" s="10">
        <v>46223</v>
      </c>
      <c r="B387" s="56" t="s">
        <v>17</v>
      </c>
      <c r="C387" s="57"/>
      <c r="D387" s="57"/>
      <c r="E387" s="74"/>
      <c r="F387" s="74"/>
      <c r="G387" s="20"/>
      <c r="H387" s="26"/>
      <c r="I387" s="8"/>
      <c r="J387" s="8"/>
      <c r="K387" s="29"/>
      <c r="L387" s="29"/>
      <c r="M387" s="29"/>
    </row>
    <row r="388" spans="1:13" ht="16.25" customHeight="1" x14ac:dyDescent="0.2">
      <c r="A388" s="7">
        <v>46224</v>
      </c>
      <c r="B388" s="58" t="s">
        <v>21</v>
      </c>
      <c r="C388" s="59" t="s">
        <v>22</v>
      </c>
      <c r="D388" s="59"/>
      <c r="E388" s="75"/>
      <c r="F388" s="75"/>
      <c r="G388" s="21"/>
      <c r="H388" s="27"/>
      <c r="I388" s="5"/>
      <c r="J388" s="5"/>
      <c r="K388" s="29"/>
      <c r="L388" s="29"/>
      <c r="M388" s="29"/>
    </row>
    <row r="389" spans="1:13" ht="16.25" customHeight="1" x14ac:dyDescent="0.2">
      <c r="A389" s="7">
        <v>46225</v>
      </c>
      <c r="B389" s="58" t="s">
        <v>21</v>
      </c>
      <c r="C389" s="60"/>
      <c r="D389" s="60"/>
      <c r="E389" s="76"/>
      <c r="F389" s="76"/>
      <c r="G389" s="21"/>
      <c r="H389" s="27"/>
      <c r="I389" s="5"/>
      <c r="J389" s="5"/>
      <c r="K389" s="29"/>
      <c r="L389" s="29"/>
      <c r="M389" s="29"/>
    </row>
    <row r="390" spans="1:13" ht="16.25" customHeight="1" x14ac:dyDescent="0.2">
      <c r="A390" s="7">
        <v>46226</v>
      </c>
      <c r="B390" s="58" t="s">
        <v>21</v>
      </c>
      <c r="C390" s="60"/>
      <c r="D390" s="60"/>
      <c r="E390" s="76"/>
      <c r="F390" s="76"/>
      <c r="G390" s="21"/>
      <c r="H390" s="27"/>
      <c r="I390" s="5"/>
      <c r="J390" s="5"/>
      <c r="K390" s="29"/>
      <c r="L390" s="29"/>
      <c r="M390" s="29"/>
    </row>
    <row r="391" spans="1:13" ht="16.25" customHeight="1" x14ac:dyDescent="0.2">
      <c r="A391" s="7">
        <v>46227</v>
      </c>
      <c r="B391" s="58" t="s">
        <v>21</v>
      </c>
      <c r="C391" s="60"/>
      <c r="D391" s="60"/>
      <c r="E391" s="76"/>
      <c r="F391" s="76"/>
      <c r="G391" s="21"/>
      <c r="H391" s="27"/>
      <c r="I391" s="5"/>
      <c r="J391" s="5"/>
      <c r="K391" s="29"/>
      <c r="L391" s="29"/>
      <c r="M391" s="29"/>
    </row>
    <row r="392" spans="1:13" ht="16.25" customHeight="1" x14ac:dyDescent="0.2">
      <c r="A392" s="10">
        <v>46228</v>
      </c>
      <c r="B392" s="56" t="s">
        <v>20</v>
      </c>
      <c r="C392" s="57"/>
      <c r="D392" s="57"/>
      <c r="E392" s="74"/>
      <c r="F392" s="74"/>
      <c r="G392" s="20"/>
      <c r="H392" s="26"/>
      <c r="I392" s="8"/>
      <c r="J392" s="8"/>
      <c r="K392" s="29"/>
      <c r="L392" s="29"/>
      <c r="M392" s="29"/>
    </row>
    <row r="393" spans="1:13" ht="16.25" customHeight="1" x14ac:dyDescent="0.2">
      <c r="A393" s="10">
        <v>46229</v>
      </c>
      <c r="B393" s="56" t="s">
        <v>20</v>
      </c>
      <c r="C393" s="57"/>
      <c r="D393" s="57"/>
      <c r="E393" s="74"/>
      <c r="F393" s="74"/>
      <c r="G393" s="20"/>
      <c r="H393" s="26"/>
      <c r="I393" s="8"/>
      <c r="J393" s="8"/>
      <c r="K393" s="29"/>
      <c r="L393" s="29"/>
      <c r="M393" s="29"/>
    </row>
    <row r="394" spans="1:13" ht="16.25" customHeight="1" x14ac:dyDescent="0.2">
      <c r="A394" s="7">
        <v>46230</v>
      </c>
      <c r="B394" s="58" t="s">
        <v>21</v>
      </c>
      <c r="C394" s="60" t="s">
        <v>24</v>
      </c>
      <c r="D394" s="60"/>
      <c r="E394" s="76"/>
      <c r="F394" s="76"/>
      <c r="G394" s="21"/>
      <c r="H394" s="27"/>
      <c r="I394" s="5"/>
      <c r="J394" s="5"/>
      <c r="K394" s="29"/>
      <c r="L394" s="29"/>
      <c r="M394" s="29"/>
    </row>
    <row r="395" spans="1:13" ht="16.25" customHeight="1" x14ac:dyDescent="0.2">
      <c r="A395" s="7">
        <v>46231</v>
      </c>
      <c r="B395" s="58" t="s">
        <v>21</v>
      </c>
      <c r="C395" s="60"/>
      <c r="D395" s="60"/>
      <c r="E395" s="76"/>
      <c r="F395" s="76"/>
      <c r="G395" s="21"/>
      <c r="H395" s="27"/>
      <c r="I395" s="5"/>
      <c r="J395" s="5"/>
      <c r="K395" s="29"/>
      <c r="L395" s="29"/>
      <c r="M395" s="29"/>
    </row>
    <row r="396" spans="1:13" ht="16.25" customHeight="1" x14ac:dyDescent="0.2">
      <c r="A396" s="7">
        <v>46232</v>
      </c>
      <c r="B396" s="58" t="s">
        <v>21</v>
      </c>
      <c r="C396" s="60" t="s">
        <v>25</v>
      </c>
      <c r="D396" s="60"/>
      <c r="E396" s="76"/>
      <c r="F396" s="76"/>
      <c r="G396" s="21"/>
      <c r="H396" s="27"/>
      <c r="I396" s="5"/>
      <c r="J396" s="5"/>
      <c r="K396" s="29"/>
      <c r="L396" s="29"/>
      <c r="M396" s="29"/>
    </row>
    <row r="397" spans="1:13" ht="16.25" customHeight="1" x14ac:dyDescent="0.2">
      <c r="A397" s="7">
        <v>46233</v>
      </c>
      <c r="B397" s="58" t="s">
        <v>21</v>
      </c>
      <c r="C397" s="60"/>
      <c r="D397" s="60"/>
      <c r="E397" s="76"/>
      <c r="F397" s="76"/>
      <c r="G397" s="21"/>
      <c r="H397" s="27"/>
      <c r="I397" s="5"/>
      <c r="J397" s="5"/>
      <c r="K397" s="29"/>
      <c r="L397" s="29"/>
      <c r="M397" s="29"/>
    </row>
    <row r="398" spans="1:13" ht="16.25" customHeight="1" x14ac:dyDescent="0.2">
      <c r="A398" s="7">
        <v>46234</v>
      </c>
      <c r="B398" s="58" t="s">
        <v>21</v>
      </c>
      <c r="C398" s="60"/>
      <c r="D398" s="60"/>
      <c r="E398" s="76"/>
      <c r="F398" s="76"/>
      <c r="G398" s="21"/>
      <c r="H398" s="27"/>
      <c r="I398" s="5"/>
      <c r="J398" s="5"/>
      <c r="K398" s="29"/>
      <c r="L398" s="29"/>
      <c r="M398" s="29"/>
    </row>
    <row r="399" spans="1:13" ht="16.25" customHeight="1" x14ac:dyDescent="0.2">
      <c r="A399" s="10">
        <v>46235</v>
      </c>
      <c r="B399" s="56" t="s">
        <v>20</v>
      </c>
      <c r="C399" s="71"/>
      <c r="D399" s="71"/>
      <c r="E399" s="81"/>
      <c r="F399" s="81"/>
      <c r="G399" s="35"/>
      <c r="H399" s="26"/>
      <c r="I399" s="8"/>
      <c r="J399" s="8"/>
      <c r="K399" s="36"/>
      <c r="L399" s="36"/>
      <c r="M399" s="36"/>
    </row>
    <row r="400" spans="1:13" ht="16.25" customHeight="1" x14ac:dyDescent="0.2">
      <c r="A400" s="10">
        <v>46236</v>
      </c>
      <c r="B400" s="56" t="s">
        <v>20</v>
      </c>
      <c r="C400" s="71"/>
      <c r="D400" s="71"/>
      <c r="E400" s="81"/>
      <c r="F400" s="81"/>
      <c r="G400" s="35"/>
      <c r="H400" s="26"/>
      <c r="I400" s="8"/>
      <c r="J400" s="8"/>
      <c r="K400" s="36"/>
      <c r="L400" s="36"/>
      <c r="M400" s="36"/>
    </row>
    <row r="401" spans="1:13" ht="16.25" customHeight="1" x14ac:dyDescent="0.2">
      <c r="A401" s="7">
        <v>46237</v>
      </c>
      <c r="B401" s="58" t="s">
        <v>23</v>
      </c>
      <c r="C401" s="69"/>
      <c r="D401" s="69"/>
      <c r="E401" s="82"/>
      <c r="F401" s="82"/>
      <c r="G401" s="31"/>
      <c r="H401" s="27"/>
      <c r="I401" s="5"/>
      <c r="J401" s="5"/>
      <c r="K401" s="29"/>
      <c r="L401" s="29"/>
      <c r="M401" s="29"/>
    </row>
    <row r="402" spans="1:13" ht="16.25" customHeight="1" x14ac:dyDescent="0.2">
      <c r="A402" s="7">
        <v>46238</v>
      </c>
      <c r="B402" s="58"/>
      <c r="C402" s="69"/>
      <c r="D402" s="69"/>
      <c r="E402" s="82"/>
      <c r="F402" s="82"/>
      <c r="G402" s="31"/>
      <c r="H402" s="27"/>
      <c r="I402" s="5"/>
      <c r="J402" s="5"/>
      <c r="K402" s="29"/>
      <c r="L402" s="29"/>
      <c r="M402" s="29"/>
    </row>
    <row r="403" spans="1:13" ht="16.25" customHeight="1" x14ac:dyDescent="0.2">
      <c r="A403" s="7">
        <v>46239</v>
      </c>
      <c r="B403" s="58"/>
      <c r="C403" s="69"/>
      <c r="D403" s="69"/>
      <c r="E403" s="82"/>
      <c r="F403" s="82"/>
      <c r="G403" s="31"/>
      <c r="H403" s="27"/>
      <c r="I403" s="5"/>
      <c r="J403" s="5"/>
      <c r="K403" s="29"/>
      <c r="L403" s="29"/>
      <c r="M403" s="29"/>
    </row>
    <row r="404" spans="1:13" ht="16.25" customHeight="1" x14ac:dyDescent="0.2">
      <c r="A404" s="7">
        <v>46240</v>
      </c>
      <c r="B404" s="58"/>
      <c r="C404" s="69"/>
      <c r="D404" s="69"/>
      <c r="E404" s="82"/>
      <c r="F404" s="82"/>
      <c r="G404" s="31"/>
      <c r="H404" s="27"/>
      <c r="I404" s="5"/>
      <c r="J404" s="5"/>
      <c r="K404" s="29"/>
      <c r="L404" s="29"/>
      <c r="M404" s="29"/>
    </row>
    <row r="405" spans="1:13" ht="16.25" customHeight="1" x14ac:dyDescent="0.2">
      <c r="A405" s="10">
        <v>46241</v>
      </c>
      <c r="B405" s="56" t="s">
        <v>17</v>
      </c>
      <c r="C405" s="71"/>
      <c r="D405" s="71"/>
      <c r="E405" s="81"/>
      <c r="F405" s="81"/>
      <c r="G405" s="35"/>
      <c r="H405" s="26"/>
      <c r="I405" s="8"/>
      <c r="J405" s="8"/>
      <c r="K405" s="36"/>
      <c r="L405" s="36"/>
      <c r="M405" s="36"/>
    </row>
    <row r="406" spans="1:13" ht="16.25" customHeight="1" x14ac:dyDescent="0.2">
      <c r="A406" s="10">
        <v>46242</v>
      </c>
      <c r="B406" s="56" t="s">
        <v>20</v>
      </c>
      <c r="C406" s="71"/>
      <c r="D406" s="71"/>
      <c r="E406" s="81"/>
      <c r="F406" s="81"/>
      <c r="G406" s="35"/>
      <c r="H406" s="26"/>
      <c r="I406" s="8"/>
      <c r="J406" s="8"/>
      <c r="K406" s="36"/>
      <c r="L406" s="36"/>
      <c r="M406" s="36"/>
    </row>
    <row r="407" spans="1:13" ht="16.25" customHeight="1" x14ac:dyDescent="0.2">
      <c r="A407" s="10">
        <v>46243</v>
      </c>
      <c r="B407" s="56" t="s">
        <v>20</v>
      </c>
      <c r="C407" s="71"/>
      <c r="D407" s="71"/>
      <c r="E407" s="81"/>
      <c r="F407" s="81"/>
      <c r="G407" s="35"/>
      <c r="H407" s="26"/>
      <c r="I407" s="8"/>
      <c r="J407" s="8"/>
      <c r="K407" s="36"/>
      <c r="L407" s="36"/>
      <c r="M407" s="36"/>
    </row>
    <row r="408" spans="1:13" ht="16.25" customHeight="1" x14ac:dyDescent="0.2">
      <c r="A408" s="7">
        <v>46244</v>
      </c>
      <c r="B408" s="58"/>
      <c r="C408" s="69"/>
      <c r="D408" s="69"/>
      <c r="E408" s="82"/>
      <c r="F408" s="82"/>
      <c r="G408" s="31"/>
      <c r="H408" s="27"/>
      <c r="I408" s="5"/>
      <c r="J408" s="5"/>
      <c r="K408" s="29"/>
      <c r="L408" s="29"/>
      <c r="M408" s="29"/>
    </row>
  </sheetData>
  <sheetProtection sort="0" autoFilter="0"/>
  <conditionalFormatting sqref="A2:A408">
    <cfRule type="expression" dxfId="0" priority="1">
      <formula>WEEKDAY(A2,2)&gt;5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FB0F31F05A8E49BF54E926F1E4BA8F" ma:contentTypeVersion="13" ma:contentTypeDescription="Crear nuevo documento." ma:contentTypeScope="" ma:versionID="72455888191cca2791bb2cbdbdc94b49">
  <xsd:schema xmlns:xsd="http://www.w3.org/2001/XMLSchema" xmlns:xs="http://www.w3.org/2001/XMLSchema" xmlns:p="http://schemas.microsoft.com/office/2006/metadata/properties" xmlns:ns2="02a809ee-8a4b-44ff-98ae-276d9224af38" xmlns:ns3="4b8dc5a8-8714-4180-9ba3-03e6d53b38a1" targetNamespace="http://schemas.microsoft.com/office/2006/metadata/properties" ma:root="true" ma:fieldsID="09dce9c9e9bc8e1f58b829380add43a9" ns2:_="" ns3:_="">
    <xsd:import namespace="02a809ee-8a4b-44ff-98ae-276d9224af38"/>
    <xsd:import namespace="4b8dc5a8-8714-4180-9ba3-03e6d53b3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809ee-8a4b-44ff-98ae-276d9224a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c98d821-6daf-4f1a-8af4-29108ed4a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dc5a8-8714-4180-9ba3-03e6d53b38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9014fc-8226-4fa3-a199-579405a4ecf9}" ma:internalName="TaxCatchAll" ma:showField="CatchAllData" ma:web="4b8dc5a8-8714-4180-9ba3-03e6d53b3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8dc5a8-8714-4180-9ba3-03e6d53b38a1" xsi:nil="true"/>
    <lcf76f155ced4ddcb4097134ff3c332f xmlns="02a809ee-8a4b-44ff-98ae-276d9224af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2AAAFA-BAC9-4C00-9241-AB6891D99E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26C18-4B60-446F-84DD-86DD45B25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809ee-8a4b-44ff-98ae-276d9224af38"/>
    <ds:schemaRef ds:uri="4b8dc5a8-8714-4180-9ba3-03e6d53b3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DEF3A0-AA6D-4D1C-B77C-37519CA4E287}">
  <ds:schemaRefs>
    <ds:schemaRef ds:uri="http://schemas.microsoft.com/office/2006/metadata/properties"/>
    <ds:schemaRef ds:uri="http://schemas.microsoft.com/office/infopath/2007/PartnerControls"/>
    <ds:schemaRef ds:uri="4b8dc5a8-8714-4180-9ba3-03e6d53b38a1"/>
    <ds:schemaRef ds:uri="02a809ee-8a4b-44ff-98ae-276d9224af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CALENDARIO 25-26 v.1</vt:lpstr>
      <vt:lpstr>PRSC. CALENDARIO 25-26</vt:lpstr>
      <vt:lpstr>PRIM. CALENDARIO 25-26</vt:lpstr>
      <vt:lpstr>MYP CALENDARIO 25-26</vt:lpstr>
      <vt:lpstr>DP CALENDARIO 25-26</vt:lpstr>
      <vt:lpstr>STEM SOSTEN. CALENDARIO 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D. J.</dc:creator>
  <cp:keywords/>
  <dc:description/>
  <cp:lastModifiedBy>Orlando Gomez Alonso</cp:lastModifiedBy>
  <cp:revision/>
  <dcterms:created xsi:type="dcterms:W3CDTF">2025-04-29T19:35:30Z</dcterms:created>
  <dcterms:modified xsi:type="dcterms:W3CDTF">2026-01-15T14:08:48Z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0x01010063FB0F31F05A8E49BF54E926F1E4BA8F</vt:lpwstr>
  </property>
  <property fmtid="{D5CDD505-2E9C-101B-9397-08002B2CF9AE}" pid="3" name="MediaServiceImageTags">
    <vt:lpwstr/>
  </property>
</Properties>
</file>